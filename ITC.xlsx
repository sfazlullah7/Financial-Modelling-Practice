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bc\OneDrive\Desktop\"/>
    </mc:Choice>
  </mc:AlternateContent>
  <bookViews>
    <workbookView xWindow="0" yWindow="0" windowWidth="20490" windowHeight="8940" activeTab="2"/>
  </bookViews>
  <sheets>
    <sheet name="DCF&gt;" sheetId="4" r:id="rId1"/>
    <sheet name="WACC" sheetId="1" r:id="rId2"/>
    <sheet name="Beta Regression " sheetId="5" r:id="rId3"/>
    <sheet name="Beta Comps" sheetId="10" r:id="rId4"/>
    <sheet name="Rm" sheetId="11" r:id="rId5"/>
    <sheet name="Intrisic Growth" sheetId="16" r:id="rId6"/>
    <sheet name="DCF" sheetId="17" r:id="rId7"/>
    <sheet name="Financials&gt;" sheetId="20" r:id="rId8"/>
    <sheet name="Historical FS" sheetId="13" r:id="rId9"/>
    <sheet name="Forecasting" sheetId="19" r:id="rId10"/>
    <sheet name="Ratio Analysis" sheetId="18" r:id="rId11"/>
    <sheet name="Common Size Statement" sheetId="21" r:id="rId12"/>
    <sheet name="Data Room&gt;" sheetId="14" r:id="rId13"/>
    <sheet name="Data Sheet" sheetId="12" r:id="rId14"/>
    <sheet name="Raw FS" sheetId="15" r:id="rId15"/>
  </sheets>
  <externalReferences>
    <externalReference r:id="rId16"/>
  </externalReference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"01/26/2023 09:21:20"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Levered_Raw_Beta">'Beta Regression '!$J$10</definedName>
    <definedName name="Market_Beta">'Beta Regression '!$J$13</definedName>
    <definedName name="Market_Beta_Weight">'Beta Regression '!$J$14</definedName>
    <definedName name="Raw_Beta_Weight">'Beta Regression '!$J$11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6" i="1" l="1"/>
  <c r="I15" i="1"/>
  <c r="I14" i="1"/>
  <c r="J231" i="5"/>
  <c r="M234" i="5"/>
  <c r="M232" i="5"/>
  <c r="M231" i="5"/>
  <c r="J121" i="5"/>
  <c r="M124" i="5"/>
  <c r="M122" i="5" l="1"/>
  <c r="G335" i="5"/>
  <c r="G334" i="5"/>
  <c r="G333" i="5"/>
  <c r="G332" i="5"/>
  <c r="G331" i="5"/>
  <c r="G330" i="5"/>
  <c r="G329" i="5"/>
  <c r="G328" i="5"/>
  <c r="G327" i="5"/>
  <c r="G326" i="5"/>
  <c r="G325" i="5"/>
  <c r="G324" i="5"/>
  <c r="G323" i="5"/>
  <c r="G322" i="5"/>
  <c r="G321" i="5"/>
  <c r="G320" i="5"/>
  <c r="G319" i="5"/>
  <c r="G318" i="5"/>
  <c r="G317" i="5"/>
  <c r="G316" i="5"/>
  <c r="G315" i="5"/>
  <c r="G314" i="5"/>
  <c r="G313" i="5"/>
  <c r="G312" i="5"/>
  <c r="G311" i="5"/>
  <c r="G310" i="5"/>
  <c r="G309" i="5"/>
  <c r="G308" i="5"/>
  <c r="G307" i="5"/>
  <c r="G306" i="5"/>
  <c r="G305" i="5"/>
  <c r="G304" i="5"/>
  <c r="G303" i="5"/>
  <c r="G302" i="5"/>
  <c r="G301" i="5"/>
  <c r="G300" i="5"/>
  <c r="G299" i="5"/>
  <c r="G298" i="5"/>
  <c r="G297" i="5"/>
  <c r="G296" i="5"/>
  <c r="G295" i="5"/>
  <c r="G294" i="5"/>
  <c r="G293" i="5"/>
  <c r="G292" i="5"/>
  <c r="G291" i="5"/>
  <c r="G290" i="5"/>
  <c r="G289" i="5"/>
  <c r="G288" i="5"/>
  <c r="G287" i="5"/>
  <c r="G286" i="5"/>
  <c r="G285" i="5"/>
  <c r="G284" i="5"/>
  <c r="G283" i="5"/>
  <c r="G282" i="5"/>
  <c r="G281" i="5"/>
  <c r="G280" i="5"/>
  <c r="G279" i="5"/>
  <c r="G278" i="5"/>
  <c r="G277" i="5"/>
  <c r="G276" i="5"/>
  <c r="G275" i="5"/>
  <c r="G274" i="5"/>
  <c r="G273" i="5"/>
  <c r="G272" i="5"/>
  <c r="G271" i="5"/>
  <c r="G270" i="5"/>
  <c r="G269" i="5"/>
  <c r="G268" i="5"/>
  <c r="G267" i="5"/>
  <c r="G266" i="5"/>
  <c r="G265" i="5"/>
  <c r="G264" i="5"/>
  <c r="G263" i="5"/>
  <c r="G262" i="5"/>
  <c r="G261" i="5"/>
  <c r="G260" i="5"/>
  <c r="G259" i="5"/>
  <c r="G258" i="5"/>
  <c r="G257" i="5"/>
  <c r="G256" i="5"/>
  <c r="G255" i="5"/>
  <c r="G254" i="5"/>
  <c r="G253" i="5"/>
  <c r="G252" i="5"/>
  <c r="G251" i="5"/>
  <c r="G250" i="5"/>
  <c r="G249" i="5"/>
  <c r="G248" i="5"/>
  <c r="G247" i="5"/>
  <c r="G246" i="5"/>
  <c r="G245" i="5"/>
  <c r="G244" i="5"/>
  <c r="G243" i="5"/>
  <c r="G242" i="5"/>
  <c r="G241" i="5"/>
  <c r="G240" i="5"/>
  <c r="G239" i="5"/>
  <c r="G238" i="5"/>
  <c r="G237" i="5"/>
  <c r="G236" i="5"/>
  <c r="G235" i="5"/>
  <c r="G234" i="5"/>
  <c r="G233" i="5"/>
  <c r="G225" i="5"/>
  <c r="G224" i="5"/>
  <c r="G223" i="5"/>
  <c r="G222" i="5"/>
  <c r="G221" i="5"/>
  <c r="G220" i="5"/>
  <c r="G219" i="5"/>
  <c r="G218" i="5"/>
  <c r="G217" i="5"/>
  <c r="G216" i="5"/>
  <c r="G215" i="5"/>
  <c r="G214" i="5"/>
  <c r="G213" i="5"/>
  <c r="G212" i="5"/>
  <c r="G211" i="5"/>
  <c r="G210" i="5"/>
  <c r="G209" i="5"/>
  <c r="G208" i="5"/>
  <c r="G207" i="5"/>
  <c r="G206" i="5"/>
  <c r="G205" i="5"/>
  <c r="G204" i="5"/>
  <c r="G203" i="5"/>
  <c r="G202" i="5"/>
  <c r="G201" i="5"/>
  <c r="G200" i="5"/>
  <c r="G199" i="5"/>
  <c r="G198" i="5"/>
  <c r="G197" i="5"/>
  <c r="G196" i="5"/>
  <c r="G195" i="5"/>
  <c r="G194" i="5"/>
  <c r="G193" i="5"/>
  <c r="G192" i="5"/>
  <c r="G191" i="5"/>
  <c r="G190" i="5"/>
  <c r="G189" i="5"/>
  <c r="G188" i="5"/>
  <c r="G187" i="5"/>
  <c r="G186" i="5"/>
  <c r="G185" i="5"/>
  <c r="G184" i="5"/>
  <c r="G183" i="5"/>
  <c r="G182" i="5"/>
  <c r="G181" i="5"/>
  <c r="G180" i="5"/>
  <c r="G179" i="5"/>
  <c r="G178" i="5"/>
  <c r="G177" i="5"/>
  <c r="G176" i="5"/>
  <c r="G175" i="5"/>
  <c r="G174" i="5"/>
  <c r="G173" i="5"/>
  <c r="G172" i="5"/>
  <c r="G171" i="5"/>
  <c r="G170" i="5"/>
  <c r="G169" i="5"/>
  <c r="G168" i="5"/>
  <c r="G167" i="5"/>
  <c r="G166" i="5"/>
  <c r="G165" i="5"/>
  <c r="G164" i="5"/>
  <c r="G163" i="5"/>
  <c r="G162" i="5"/>
  <c r="G161" i="5"/>
  <c r="G160" i="5"/>
  <c r="G159" i="5"/>
  <c r="G158" i="5"/>
  <c r="G157" i="5"/>
  <c r="G156" i="5"/>
  <c r="G155" i="5"/>
  <c r="G154" i="5"/>
  <c r="G153" i="5"/>
  <c r="G152" i="5"/>
  <c r="G151" i="5"/>
  <c r="G150" i="5"/>
  <c r="G149" i="5"/>
  <c r="G148" i="5"/>
  <c r="G147" i="5"/>
  <c r="G146" i="5"/>
  <c r="G145" i="5"/>
  <c r="G144" i="5"/>
  <c r="G143" i="5"/>
  <c r="G142" i="5"/>
  <c r="G141" i="5"/>
  <c r="G140" i="5"/>
  <c r="G139" i="5"/>
  <c r="G138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G12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23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123" i="5"/>
  <c r="M121" i="5" s="1"/>
  <c r="J66" i="16"/>
  <c r="J65" i="16"/>
  <c r="G63" i="16"/>
  <c r="J55" i="16"/>
  <c r="J56" i="16"/>
  <c r="G49" i="16"/>
  <c r="H49" i="16"/>
  <c r="I49" i="16"/>
  <c r="J49" i="16"/>
  <c r="F49" i="16"/>
  <c r="F28" i="16"/>
  <c r="G28" i="16"/>
  <c r="H28" i="16"/>
  <c r="I28" i="16"/>
  <c r="J28" i="16"/>
  <c r="B28" i="16"/>
  <c r="D40" i="21" l="1"/>
  <c r="E40" i="21"/>
  <c r="F40" i="21"/>
  <c r="G40" i="21"/>
  <c r="H40" i="21"/>
  <c r="I40" i="21"/>
  <c r="J40" i="21"/>
  <c r="K40" i="21"/>
  <c r="L40" i="21"/>
  <c r="D41" i="21"/>
  <c r="E41" i="21"/>
  <c r="F41" i="21"/>
  <c r="G41" i="21"/>
  <c r="H41" i="21"/>
  <c r="I41" i="21"/>
  <c r="J41" i="21"/>
  <c r="K41" i="21"/>
  <c r="L41" i="21"/>
  <c r="D42" i="21"/>
  <c r="E42" i="21"/>
  <c r="F42" i="21"/>
  <c r="G42" i="21"/>
  <c r="H42" i="21"/>
  <c r="I42" i="21"/>
  <c r="J42" i="21"/>
  <c r="K42" i="21"/>
  <c r="L42" i="21"/>
  <c r="D43" i="21"/>
  <c r="E43" i="21"/>
  <c r="F43" i="21"/>
  <c r="G43" i="21"/>
  <c r="H43" i="21"/>
  <c r="I43" i="21"/>
  <c r="J43" i="21"/>
  <c r="K43" i="21"/>
  <c r="L43" i="21"/>
  <c r="D44" i="21"/>
  <c r="E44" i="21"/>
  <c r="F44" i="21"/>
  <c r="G44" i="21"/>
  <c r="H44" i="21"/>
  <c r="I44" i="21"/>
  <c r="J44" i="21"/>
  <c r="K44" i="21"/>
  <c r="L44" i="21"/>
  <c r="D45" i="21"/>
  <c r="E45" i="21"/>
  <c r="F45" i="21"/>
  <c r="G45" i="21"/>
  <c r="H45" i="21"/>
  <c r="I45" i="21"/>
  <c r="J45" i="21"/>
  <c r="K45" i="21"/>
  <c r="L45" i="21"/>
  <c r="D46" i="21"/>
  <c r="E46" i="21"/>
  <c r="F46" i="21"/>
  <c r="G46" i="21"/>
  <c r="H46" i="21"/>
  <c r="I46" i="21"/>
  <c r="J46" i="21"/>
  <c r="K46" i="21"/>
  <c r="L46" i="21"/>
  <c r="C45" i="21"/>
  <c r="C46" i="21"/>
  <c r="C44" i="21"/>
  <c r="C43" i="21"/>
  <c r="C41" i="21"/>
  <c r="C42" i="21"/>
  <c r="C40" i="21"/>
  <c r="D39" i="21"/>
  <c r="E39" i="21"/>
  <c r="F39" i="21"/>
  <c r="G39" i="21"/>
  <c r="H39" i="21"/>
  <c r="I39" i="21"/>
  <c r="J39" i="21"/>
  <c r="K39" i="21"/>
  <c r="L39" i="21"/>
  <c r="C39" i="21"/>
  <c r="C76" i="12"/>
  <c r="D76" i="12"/>
  <c r="E76" i="12"/>
  <c r="F76" i="12"/>
  <c r="G76" i="12"/>
  <c r="H76" i="12"/>
  <c r="I76" i="12"/>
  <c r="J76" i="12"/>
  <c r="K76" i="12"/>
  <c r="C75" i="12"/>
  <c r="D75" i="12"/>
  <c r="E75" i="12"/>
  <c r="F75" i="12"/>
  <c r="G75" i="12"/>
  <c r="H75" i="12"/>
  <c r="I75" i="12"/>
  <c r="J75" i="12"/>
  <c r="K75" i="12"/>
  <c r="B76" i="12"/>
  <c r="B75" i="12"/>
  <c r="D34" i="21"/>
  <c r="E34" i="21"/>
  <c r="F34" i="21"/>
  <c r="G34" i="21"/>
  <c r="H34" i="21"/>
  <c r="I34" i="21"/>
  <c r="J34" i="21"/>
  <c r="K34" i="21"/>
  <c r="L34" i="21"/>
  <c r="D35" i="21"/>
  <c r="E35" i="21"/>
  <c r="F35" i="21"/>
  <c r="G35" i="21"/>
  <c r="H35" i="21"/>
  <c r="I35" i="21"/>
  <c r="J35" i="21"/>
  <c r="K35" i="21"/>
  <c r="L35" i="21"/>
  <c r="D36" i="21"/>
  <c r="E36" i="21"/>
  <c r="F36" i="21"/>
  <c r="G36" i="21"/>
  <c r="H36" i="21"/>
  <c r="I36" i="21"/>
  <c r="J36" i="21"/>
  <c r="K36" i="21"/>
  <c r="L36" i="21"/>
  <c r="D37" i="21"/>
  <c r="E37" i="21"/>
  <c r="F37" i="21"/>
  <c r="G37" i="21"/>
  <c r="H37" i="21"/>
  <c r="I37" i="21"/>
  <c r="J37" i="21"/>
  <c r="K37" i="21"/>
  <c r="L37" i="21"/>
  <c r="C35" i="21"/>
  <c r="C36" i="21"/>
  <c r="C37" i="21"/>
  <c r="C34" i="21"/>
  <c r="D33" i="21"/>
  <c r="E33" i="21"/>
  <c r="F33" i="21"/>
  <c r="G33" i="21"/>
  <c r="H33" i="21"/>
  <c r="I33" i="21"/>
  <c r="J33" i="21"/>
  <c r="K33" i="21"/>
  <c r="L33" i="21"/>
  <c r="C33" i="21"/>
  <c r="B45" i="21"/>
  <c r="B46" i="21"/>
  <c r="B44" i="21"/>
  <c r="B41" i="21"/>
  <c r="B42" i="21"/>
  <c r="B43" i="21"/>
  <c r="B40" i="21"/>
  <c r="B35" i="21"/>
  <c r="B36" i="21"/>
  <c r="B37" i="21"/>
  <c r="B34" i="21"/>
  <c r="L31" i="21"/>
  <c r="K31" i="21"/>
  <c r="J31" i="21"/>
  <c r="I31" i="21"/>
  <c r="H31" i="21"/>
  <c r="G31" i="21"/>
  <c r="F31" i="21"/>
  <c r="E31" i="21"/>
  <c r="D31" i="21"/>
  <c r="C31" i="21"/>
  <c r="D9" i="21"/>
  <c r="E9" i="21"/>
  <c r="F9" i="21"/>
  <c r="G9" i="21"/>
  <c r="H9" i="21"/>
  <c r="I9" i="21"/>
  <c r="J9" i="21"/>
  <c r="K9" i="21"/>
  <c r="L9" i="21"/>
  <c r="C9" i="21"/>
  <c r="B29" i="21"/>
  <c r="D12" i="21"/>
  <c r="E12" i="21"/>
  <c r="F12" i="21"/>
  <c r="G12" i="21"/>
  <c r="H12" i="21"/>
  <c r="I12" i="21"/>
  <c r="J12" i="21"/>
  <c r="K12" i="21"/>
  <c r="L12" i="21"/>
  <c r="D13" i="21"/>
  <c r="E13" i="21"/>
  <c r="F13" i="21"/>
  <c r="G13" i="21"/>
  <c r="H13" i="21"/>
  <c r="I13" i="21"/>
  <c r="J13" i="21"/>
  <c r="K13" i="21"/>
  <c r="L13" i="21"/>
  <c r="D14" i="21"/>
  <c r="E14" i="21"/>
  <c r="F14" i="21"/>
  <c r="G14" i="21"/>
  <c r="H14" i="21"/>
  <c r="I14" i="21"/>
  <c r="J14" i="21"/>
  <c r="K14" i="21"/>
  <c r="L14" i="21"/>
  <c r="D15" i="21"/>
  <c r="E15" i="21"/>
  <c r="F15" i="21"/>
  <c r="G15" i="21"/>
  <c r="H15" i="21"/>
  <c r="I15" i="21"/>
  <c r="J15" i="21"/>
  <c r="K15" i="21"/>
  <c r="L15" i="21"/>
  <c r="D16" i="21"/>
  <c r="E16" i="21"/>
  <c r="F16" i="21"/>
  <c r="G16" i="21"/>
  <c r="H16" i="21"/>
  <c r="I16" i="21"/>
  <c r="J16" i="21"/>
  <c r="K16" i="21"/>
  <c r="L16" i="21"/>
  <c r="D17" i="21"/>
  <c r="E17" i="21"/>
  <c r="F17" i="21"/>
  <c r="G17" i="21"/>
  <c r="H17" i="21"/>
  <c r="I17" i="21"/>
  <c r="J17" i="21"/>
  <c r="K17" i="21"/>
  <c r="L17" i="21"/>
  <c r="D18" i="21"/>
  <c r="E18" i="21"/>
  <c r="F18" i="21"/>
  <c r="G18" i="21"/>
  <c r="H18" i="21"/>
  <c r="I18" i="21"/>
  <c r="J18" i="21"/>
  <c r="K18" i="21"/>
  <c r="L18" i="21"/>
  <c r="D19" i="21"/>
  <c r="E19" i="21"/>
  <c r="F19" i="21"/>
  <c r="G19" i="21"/>
  <c r="H19" i="21"/>
  <c r="I19" i="21"/>
  <c r="J19" i="21"/>
  <c r="K19" i="21"/>
  <c r="L19" i="21"/>
  <c r="D20" i="21"/>
  <c r="E20" i="21"/>
  <c r="F20" i="21"/>
  <c r="G20" i="21"/>
  <c r="H20" i="21"/>
  <c r="I20" i="21"/>
  <c r="J20" i="21"/>
  <c r="K20" i="21"/>
  <c r="L20" i="21"/>
  <c r="D21" i="21"/>
  <c r="E21" i="21"/>
  <c r="F21" i="21"/>
  <c r="G21" i="21"/>
  <c r="H21" i="21"/>
  <c r="I21" i="21"/>
  <c r="J21" i="21"/>
  <c r="K21" i="21"/>
  <c r="L21" i="21"/>
  <c r="D22" i="21"/>
  <c r="E22" i="21"/>
  <c r="F22" i="21"/>
  <c r="G22" i="21"/>
  <c r="H22" i="21"/>
  <c r="I22" i="21"/>
  <c r="J22" i="21"/>
  <c r="K22" i="21"/>
  <c r="L22" i="21"/>
  <c r="D23" i="21"/>
  <c r="E23" i="21"/>
  <c r="F23" i="21"/>
  <c r="G23" i="21"/>
  <c r="H23" i="21"/>
  <c r="I23" i="21"/>
  <c r="J23" i="21"/>
  <c r="K23" i="21"/>
  <c r="L23" i="21"/>
  <c r="D24" i="21"/>
  <c r="E24" i="21"/>
  <c r="F24" i="21"/>
  <c r="G24" i="21"/>
  <c r="H24" i="21"/>
  <c r="I24" i="21"/>
  <c r="J24" i="21"/>
  <c r="K24" i="21"/>
  <c r="L24" i="21"/>
  <c r="D25" i="21"/>
  <c r="E25" i="21"/>
  <c r="F25" i="21"/>
  <c r="G25" i="21"/>
  <c r="H25" i="21"/>
  <c r="I25" i="21"/>
  <c r="J25" i="21"/>
  <c r="K25" i="21"/>
  <c r="L25" i="21"/>
  <c r="D26" i="21"/>
  <c r="E26" i="21"/>
  <c r="F26" i="21"/>
  <c r="G26" i="21"/>
  <c r="H26" i="21"/>
  <c r="I26" i="21"/>
  <c r="J26" i="21"/>
  <c r="K26" i="21"/>
  <c r="L26" i="21"/>
  <c r="C26" i="21"/>
  <c r="C13" i="21"/>
  <c r="C14" i="21"/>
  <c r="C15" i="21"/>
  <c r="C16" i="21"/>
  <c r="C17" i="21"/>
  <c r="C18" i="21"/>
  <c r="C19" i="21"/>
  <c r="C20" i="21"/>
  <c r="C21" i="21"/>
  <c r="C22" i="21"/>
  <c r="C23" i="21"/>
  <c r="C24" i="21"/>
  <c r="C25" i="21"/>
  <c r="C12" i="21"/>
  <c r="D11" i="21"/>
  <c r="E11" i="21"/>
  <c r="F11" i="21"/>
  <c r="G11" i="21"/>
  <c r="H11" i="21"/>
  <c r="I11" i="21"/>
  <c r="J11" i="21"/>
  <c r="K11" i="21"/>
  <c r="L11" i="21"/>
  <c r="C11" i="21"/>
  <c r="B26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11" i="21"/>
  <c r="B7" i="21"/>
  <c r="I19" i="1" l="1"/>
  <c r="F11" i="11"/>
  <c r="M13" i="5" l="1"/>
  <c r="O6" i="19"/>
  <c r="O7" i="19"/>
  <c r="O8" i="19"/>
  <c r="O9" i="19"/>
  <c r="O10" i="19"/>
  <c r="O11" i="19"/>
  <c r="O12" i="19"/>
  <c r="O13" i="19"/>
  <c r="O14" i="19"/>
  <c r="O15" i="19"/>
  <c r="O16" i="19"/>
  <c r="O17" i="19"/>
  <c r="O18" i="19"/>
  <c r="O5" i="19"/>
  <c r="J6" i="19"/>
  <c r="J7" i="19"/>
  <c r="J8" i="19"/>
  <c r="J9" i="19"/>
  <c r="J10" i="19"/>
  <c r="J11" i="19"/>
  <c r="J12" i="19"/>
  <c r="J13" i="19"/>
  <c r="J14" i="19"/>
  <c r="J15" i="19"/>
  <c r="J16" i="19"/>
  <c r="J17" i="19"/>
  <c r="J18" i="19"/>
  <c r="J5" i="19"/>
  <c r="N15" i="19"/>
  <c r="N16" i="19"/>
  <c r="N17" i="19"/>
  <c r="N18" i="19"/>
  <c r="N14" i="19"/>
  <c r="N4" i="19" a="1"/>
  <c r="N4" i="19" s="1"/>
  <c r="I15" i="19"/>
  <c r="I16" i="19"/>
  <c r="I17" i="19"/>
  <c r="I18" i="19"/>
  <c r="I14" i="19"/>
  <c r="D14" i="19"/>
  <c r="I4" i="19" a="1"/>
  <c r="I4" i="19" s="1"/>
  <c r="M4" i="19"/>
  <c r="M5" i="19" s="1"/>
  <c r="M6" i="19" s="1"/>
  <c r="M7" i="19" s="1"/>
  <c r="M8" i="19" s="1"/>
  <c r="M9" i="19" s="1"/>
  <c r="M10" i="19" s="1"/>
  <c r="M11" i="19" s="1"/>
  <c r="M12" i="19" s="1"/>
  <c r="M13" i="19" s="1"/>
  <c r="M14" i="19" s="1"/>
  <c r="M15" i="19" s="1"/>
  <c r="M16" i="19" s="1"/>
  <c r="M17" i="19" s="1"/>
  <c r="M18" i="19" s="1"/>
  <c r="H4" i="19"/>
  <c r="H5" i="19" s="1"/>
  <c r="H6" i="19" s="1"/>
  <c r="H7" i="19" s="1"/>
  <c r="H8" i="19" s="1"/>
  <c r="H9" i="19" s="1"/>
  <c r="H10" i="19" s="1"/>
  <c r="H11" i="19" s="1"/>
  <c r="H12" i="19" s="1"/>
  <c r="H13" i="19" s="1"/>
  <c r="H14" i="19" s="1"/>
  <c r="H15" i="19" s="1"/>
  <c r="H16" i="19" s="1"/>
  <c r="H17" i="19" s="1"/>
  <c r="H18" i="19" s="1"/>
  <c r="C4" i="19"/>
  <c r="N11" i="19" l="1"/>
  <c r="N7" i="19"/>
  <c r="N10" i="19"/>
  <c r="N6" i="19"/>
  <c r="N13" i="19"/>
  <c r="N9" i="19"/>
  <c r="N5" i="19"/>
  <c r="N12" i="19"/>
  <c r="N8" i="19"/>
  <c r="I11" i="19"/>
  <c r="I7" i="19"/>
  <c r="I10" i="19"/>
  <c r="I6" i="19"/>
  <c r="I13" i="19"/>
  <c r="I9" i="19"/>
  <c r="I5" i="19"/>
  <c r="I12" i="19"/>
  <c r="I8" i="19"/>
  <c r="D4" i="19" l="1" a="1"/>
  <c r="D4" i="19" s="1"/>
  <c r="C5" i="19"/>
  <c r="C6" i="19" s="1"/>
  <c r="C7" i="19" s="1"/>
  <c r="C8" i="19" s="1"/>
  <c r="C9" i="19" s="1"/>
  <c r="C10" i="19" s="1"/>
  <c r="C11" i="19" s="1"/>
  <c r="C12" i="19" s="1"/>
  <c r="C13" i="19" s="1"/>
  <c r="C14" i="19" s="1"/>
  <c r="C15" i="19" s="1"/>
  <c r="C16" i="19" s="1"/>
  <c r="C17" i="19" s="1"/>
  <c r="C18" i="19" s="1"/>
  <c r="L2" i="19"/>
  <c r="G2" i="19"/>
  <c r="B2" i="19"/>
  <c r="D6" i="19" l="1"/>
  <c r="D5" i="19"/>
  <c r="E5" i="19" s="1"/>
  <c r="D11" i="19"/>
  <c r="E11" i="19" s="1"/>
  <c r="D7" i="19"/>
  <c r="D10" i="19"/>
  <c r="D13" i="19"/>
  <c r="E13" i="19" s="1"/>
  <c r="D9" i="19"/>
  <c r="E9" i="19" s="1"/>
  <c r="D12" i="19"/>
  <c r="D8" i="19"/>
  <c r="E8" i="19" s="1"/>
  <c r="D15" i="19" l="1"/>
  <c r="E14" i="19"/>
  <c r="E10" i="19"/>
  <c r="E6" i="19"/>
  <c r="D16" i="19"/>
  <c r="E16" i="19" s="1"/>
  <c r="E12" i="19"/>
  <c r="E7" i="19"/>
  <c r="D18" i="19"/>
  <c r="D17" i="19"/>
  <c r="E17" i="19" s="1"/>
  <c r="D3" i="18"/>
  <c r="E3" i="18"/>
  <c r="F3" i="18"/>
  <c r="G3" i="18"/>
  <c r="H3" i="18"/>
  <c r="I3" i="18"/>
  <c r="J3" i="18"/>
  <c r="K3" i="18"/>
  <c r="L3" i="18"/>
  <c r="C3" i="18"/>
  <c r="B2" i="18"/>
  <c r="E18" i="19" l="1"/>
  <c r="E15" i="19"/>
  <c r="C64" i="15"/>
  <c r="C52" i="15"/>
  <c r="D52" i="15"/>
  <c r="E52" i="15"/>
  <c r="F52" i="15"/>
  <c r="G52" i="15"/>
  <c r="H52" i="15"/>
  <c r="I52" i="15"/>
  <c r="J52" i="15"/>
  <c r="K52" i="15"/>
  <c r="L52" i="15"/>
  <c r="M52" i="15"/>
  <c r="N52" i="15"/>
  <c r="C37" i="17" l="1"/>
  <c r="C36" i="17"/>
  <c r="C26" i="17"/>
  <c r="G13" i="17"/>
  <c r="H13" i="17" s="1"/>
  <c r="I13" i="17" s="1"/>
  <c r="J13" i="17" s="1"/>
  <c r="F9" i="17"/>
  <c r="G9" i="17" s="1"/>
  <c r="H9" i="17" s="1"/>
  <c r="I9" i="17" s="1"/>
  <c r="J9" i="17" s="1"/>
  <c r="D3" i="13"/>
  <c r="E3" i="13"/>
  <c r="F3" i="13"/>
  <c r="G3" i="13"/>
  <c r="H3" i="13"/>
  <c r="I3" i="13"/>
  <c r="J3" i="13"/>
  <c r="K3" i="13"/>
  <c r="L3" i="13"/>
  <c r="C3" i="13"/>
  <c r="B2" i="13" l="1"/>
  <c r="B61" i="16" l="1"/>
  <c r="B60" i="16"/>
  <c r="G42" i="16"/>
  <c r="H42" i="16"/>
  <c r="I42" i="16"/>
  <c r="J42" i="16"/>
  <c r="F42" i="16"/>
  <c r="J58" i="16"/>
  <c r="I58" i="16"/>
  <c r="H58" i="16"/>
  <c r="G58" i="16"/>
  <c r="F58" i="16"/>
  <c r="G6" i="16"/>
  <c r="H6" i="16"/>
  <c r="I6" i="16"/>
  <c r="J6" i="16"/>
  <c r="E6" i="17" s="1"/>
  <c r="F6" i="17" s="1"/>
  <c r="G6" i="17" s="1"/>
  <c r="H6" i="17" s="1"/>
  <c r="F6" i="16"/>
  <c r="G44" i="16"/>
  <c r="H44" i="16"/>
  <c r="I44" i="16"/>
  <c r="J44" i="16"/>
  <c r="F44" i="16"/>
  <c r="D74" i="15"/>
  <c r="E74" i="15"/>
  <c r="F74" i="15"/>
  <c r="G74" i="15"/>
  <c r="H74" i="15"/>
  <c r="I74" i="15"/>
  <c r="J74" i="15"/>
  <c r="K74" i="15"/>
  <c r="L74" i="15"/>
  <c r="M74" i="15"/>
  <c r="N74" i="15"/>
  <c r="C74" i="15"/>
  <c r="D64" i="15"/>
  <c r="E64" i="15"/>
  <c r="F64" i="15"/>
  <c r="G64" i="15"/>
  <c r="H64" i="15"/>
  <c r="I64" i="15"/>
  <c r="J64" i="15"/>
  <c r="K64" i="15"/>
  <c r="L64" i="15"/>
  <c r="M64" i="15"/>
  <c r="N64" i="15"/>
  <c r="G34" i="16"/>
  <c r="H34" i="16"/>
  <c r="I34" i="16"/>
  <c r="J34" i="16"/>
  <c r="F34" i="16"/>
  <c r="F25" i="16"/>
  <c r="G25" i="16"/>
  <c r="H25" i="16"/>
  <c r="I25" i="16"/>
  <c r="J25" i="16"/>
  <c r="F26" i="16"/>
  <c r="G26" i="16"/>
  <c r="H26" i="16"/>
  <c r="I26" i="16"/>
  <c r="J26" i="16"/>
  <c r="F27" i="16"/>
  <c r="G27" i="16"/>
  <c r="H27" i="16"/>
  <c r="I27" i="16"/>
  <c r="J27" i="16"/>
  <c r="F29" i="16"/>
  <c r="G29" i="16"/>
  <c r="H29" i="16"/>
  <c r="I29" i="16"/>
  <c r="J29" i="16"/>
  <c r="F30" i="16"/>
  <c r="G30" i="16"/>
  <c r="H30" i="16"/>
  <c r="I30" i="16"/>
  <c r="J30" i="16"/>
  <c r="F31" i="16"/>
  <c r="G31" i="16"/>
  <c r="H31" i="16"/>
  <c r="I31" i="16"/>
  <c r="J31" i="16"/>
  <c r="F32" i="16"/>
  <c r="G32" i="16"/>
  <c r="H32" i="16"/>
  <c r="I32" i="16"/>
  <c r="J32" i="16"/>
  <c r="G24" i="16"/>
  <c r="H24" i="16"/>
  <c r="I24" i="16"/>
  <c r="J24" i="16"/>
  <c r="F24" i="16"/>
  <c r="B25" i="16"/>
  <c r="B26" i="16"/>
  <c r="B27" i="16"/>
  <c r="B29" i="16"/>
  <c r="B30" i="16"/>
  <c r="B31" i="16"/>
  <c r="B32" i="16"/>
  <c r="B24" i="16"/>
  <c r="F17" i="16"/>
  <c r="G17" i="16"/>
  <c r="H17" i="16"/>
  <c r="I17" i="16"/>
  <c r="J17" i="16"/>
  <c r="F18" i="16"/>
  <c r="G18" i="16"/>
  <c r="H18" i="16"/>
  <c r="I18" i="16"/>
  <c r="J18" i="16"/>
  <c r="G16" i="16"/>
  <c r="H16" i="16"/>
  <c r="I16" i="16"/>
  <c r="J16" i="16"/>
  <c r="F16" i="16"/>
  <c r="B17" i="16"/>
  <c r="B18" i="16"/>
  <c r="B16" i="16"/>
  <c r="F12" i="16"/>
  <c r="G12" i="16"/>
  <c r="H12" i="16"/>
  <c r="I12" i="16"/>
  <c r="J12" i="16"/>
  <c r="G11" i="16"/>
  <c r="H11" i="16"/>
  <c r="I11" i="16"/>
  <c r="J11" i="16"/>
  <c r="F11" i="16"/>
  <c r="F10" i="16"/>
  <c r="G10" i="16"/>
  <c r="H10" i="16"/>
  <c r="I10" i="16"/>
  <c r="J10" i="16"/>
  <c r="G9" i="16"/>
  <c r="H9" i="16"/>
  <c r="I9" i="16"/>
  <c r="J9" i="16"/>
  <c r="F9" i="16"/>
  <c r="B12" i="16"/>
  <c r="B11" i="16"/>
  <c r="B10" i="16"/>
  <c r="B9" i="16"/>
  <c r="D30" i="15"/>
  <c r="E30" i="15"/>
  <c r="F30" i="15"/>
  <c r="G30" i="15"/>
  <c r="H30" i="15"/>
  <c r="I30" i="15"/>
  <c r="J30" i="15"/>
  <c r="K30" i="15"/>
  <c r="L30" i="15"/>
  <c r="M30" i="15"/>
  <c r="N30" i="15"/>
  <c r="C30" i="15"/>
  <c r="D74" i="13"/>
  <c r="E74" i="13"/>
  <c r="F74" i="13"/>
  <c r="G74" i="13"/>
  <c r="H74" i="13"/>
  <c r="I74" i="13"/>
  <c r="J74" i="13"/>
  <c r="K74" i="13"/>
  <c r="L74" i="13"/>
  <c r="C74" i="13"/>
  <c r="D72" i="13"/>
  <c r="D76" i="13" s="1"/>
  <c r="E72" i="13"/>
  <c r="E76" i="13" s="1"/>
  <c r="F72" i="13"/>
  <c r="G72" i="13"/>
  <c r="H72" i="13"/>
  <c r="H76" i="13" s="1"/>
  <c r="I72" i="13"/>
  <c r="I76" i="13" s="1"/>
  <c r="J72" i="13"/>
  <c r="K72" i="13"/>
  <c r="L72" i="13"/>
  <c r="L76" i="13" s="1"/>
  <c r="C72" i="13"/>
  <c r="D70" i="13"/>
  <c r="E70" i="13"/>
  <c r="F70" i="13"/>
  <c r="G70" i="13"/>
  <c r="H70" i="13"/>
  <c r="I70" i="13"/>
  <c r="J70" i="13"/>
  <c r="K70" i="13"/>
  <c r="L70" i="13"/>
  <c r="C70" i="13"/>
  <c r="D56" i="13"/>
  <c r="E56" i="13"/>
  <c r="F56" i="13"/>
  <c r="G56" i="13"/>
  <c r="H56" i="13"/>
  <c r="I56" i="13"/>
  <c r="J56" i="13"/>
  <c r="K56" i="13"/>
  <c r="L56" i="13"/>
  <c r="C56" i="13"/>
  <c r="C60" i="13"/>
  <c r="D60" i="13"/>
  <c r="E60" i="13"/>
  <c r="F60" i="13"/>
  <c r="G60" i="13"/>
  <c r="H60" i="13"/>
  <c r="I60" i="13"/>
  <c r="J60" i="13"/>
  <c r="K60" i="13"/>
  <c r="L60" i="13"/>
  <c r="C61" i="13"/>
  <c r="D61" i="13"/>
  <c r="D62" i="13" s="1"/>
  <c r="E61" i="13"/>
  <c r="F61" i="13"/>
  <c r="G61" i="13"/>
  <c r="H61" i="13"/>
  <c r="I61" i="13"/>
  <c r="J61" i="13"/>
  <c r="K61" i="13"/>
  <c r="L61" i="13"/>
  <c r="L62" i="13" s="1"/>
  <c r="D59" i="13"/>
  <c r="E59" i="13"/>
  <c r="F59" i="13"/>
  <c r="G59" i="13"/>
  <c r="H59" i="13"/>
  <c r="I59" i="13"/>
  <c r="J59" i="13"/>
  <c r="K59" i="13"/>
  <c r="L59" i="13"/>
  <c r="C59" i="13"/>
  <c r="D49" i="13" s="1"/>
  <c r="C54" i="13"/>
  <c r="D54" i="13"/>
  <c r="E54" i="13"/>
  <c r="F54" i="13"/>
  <c r="G54" i="13"/>
  <c r="H54" i="13"/>
  <c r="I54" i="13"/>
  <c r="J54" i="13"/>
  <c r="K54" i="13"/>
  <c r="L54" i="13"/>
  <c r="C55" i="13"/>
  <c r="D55" i="13"/>
  <c r="E55" i="13"/>
  <c r="F55" i="13"/>
  <c r="G55" i="13"/>
  <c r="H55" i="13"/>
  <c r="I55" i="13"/>
  <c r="J55" i="13"/>
  <c r="K55" i="13"/>
  <c r="L55" i="13"/>
  <c r="D53" i="13"/>
  <c r="E53" i="13"/>
  <c r="F53" i="13"/>
  <c r="G53" i="13"/>
  <c r="H53" i="13"/>
  <c r="I53" i="13"/>
  <c r="J53" i="13"/>
  <c r="K53" i="13"/>
  <c r="L53" i="13"/>
  <c r="C53" i="13"/>
  <c r="C48" i="13"/>
  <c r="D48" i="13"/>
  <c r="E48" i="13"/>
  <c r="F48" i="13"/>
  <c r="G48" i="13"/>
  <c r="H48" i="13"/>
  <c r="I48" i="13"/>
  <c r="J48" i="13"/>
  <c r="K48" i="13"/>
  <c r="L48" i="13"/>
  <c r="C49" i="13"/>
  <c r="E49" i="13"/>
  <c r="F49" i="13"/>
  <c r="G49" i="13"/>
  <c r="H49" i="13"/>
  <c r="I49" i="13"/>
  <c r="J49" i="13"/>
  <c r="K49" i="13"/>
  <c r="L49" i="13"/>
  <c r="C50" i="13"/>
  <c r="D50" i="13"/>
  <c r="E50" i="13"/>
  <c r="F50" i="13"/>
  <c r="G50" i="13"/>
  <c r="H50" i="13"/>
  <c r="I50" i="13"/>
  <c r="J50" i="13"/>
  <c r="K50" i="13"/>
  <c r="L50" i="13"/>
  <c r="C51" i="13"/>
  <c r="D51" i="13"/>
  <c r="E51" i="13"/>
  <c r="F51" i="13"/>
  <c r="G51" i="13"/>
  <c r="H51" i="13"/>
  <c r="I51" i="13"/>
  <c r="J51" i="13"/>
  <c r="K51" i="13"/>
  <c r="L51" i="13"/>
  <c r="D47" i="13"/>
  <c r="E47" i="13"/>
  <c r="F47" i="13"/>
  <c r="G47" i="13"/>
  <c r="H47" i="13"/>
  <c r="I47" i="13"/>
  <c r="J47" i="13"/>
  <c r="K47" i="13"/>
  <c r="L47" i="13"/>
  <c r="C47" i="13"/>
  <c r="M41" i="13"/>
  <c r="D41" i="13"/>
  <c r="C41" i="13"/>
  <c r="D36" i="13"/>
  <c r="E36" i="13"/>
  <c r="F36" i="13"/>
  <c r="E41" i="13" s="1"/>
  <c r="E9" i="18" s="1"/>
  <c r="G36" i="13"/>
  <c r="F41" i="13" s="1"/>
  <c r="F9" i="18" s="1"/>
  <c r="H36" i="13"/>
  <c r="G41" i="13" s="1"/>
  <c r="I36" i="13"/>
  <c r="H41" i="13" s="1"/>
  <c r="H9" i="18" s="1"/>
  <c r="J36" i="13"/>
  <c r="I41" i="13" s="1"/>
  <c r="I9" i="18" s="1"/>
  <c r="K36" i="13"/>
  <c r="J41" i="13" s="1"/>
  <c r="J9" i="18" s="1"/>
  <c r="L36" i="13"/>
  <c r="K41" i="13" s="1"/>
  <c r="C36" i="13"/>
  <c r="C36" i="12"/>
  <c r="M30" i="13"/>
  <c r="D30" i="13"/>
  <c r="E30" i="13"/>
  <c r="F30" i="13"/>
  <c r="G30" i="13"/>
  <c r="H30" i="13"/>
  <c r="I30" i="13"/>
  <c r="J30" i="13"/>
  <c r="K30" i="13"/>
  <c r="L30" i="13"/>
  <c r="C30" i="13"/>
  <c r="M6" i="13"/>
  <c r="M24" i="13"/>
  <c r="D24" i="13"/>
  <c r="E24" i="13"/>
  <c r="F24" i="13"/>
  <c r="F25" i="13" s="1"/>
  <c r="F18" i="18" s="1"/>
  <c r="G24" i="13"/>
  <c r="H24" i="13"/>
  <c r="I24" i="13"/>
  <c r="J24" i="13"/>
  <c r="J25" i="13" s="1"/>
  <c r="J18" i="18" s="1"/>
  <c r="K24" i="13"/>
  <c r="L24" i="13"/>
  <c r="C24" i="13"/>
  <c r="M21" i="13"/>
  <c r="D21" i="13"/>
  <c r="E21" i="13"/>
  <c r="F21" i="13"/>
  <c r="G21" i="13"/>
  <c r="H21" i="13"/>
  <c r="I21" i="13"/>
  <c r="J21" i="13"/>
  <c r="K21" i="13"/>
  <c r="L21" i="13"/>
  <c r="C21" i="13"/>
  <c r="D15" i="13"/>
  <c r="E15" i="13"/>
  <c r="F15" i="13"/>
  <c r="F16" i="13" s="1"/>
  <c r="F17" i="18" s="1"/>
  <c r="G15" i="13"/>
  <c r="H15" i="13"/>
  <c r="I15" i="13"/>
  <c r="J15" i="13"/>
  <c r="J16" i="13" s="1"/>
  <c r="J17" i="18" s="1"/>
  <c r="K15" i="13"/>
  <c r="L15" i="13"/>
  <c r="C15" i="13"/>
  <c r="M9" i="13"/>
  <c r="D9" i="13"/>
  <c r="D29" i="18" s="1"/>
  <c r="D35" i="18" s="1"/>
  <c r="E9" i="13"/>
  <c r="E29" i="18" s="1"/>
  <c r="E35" i="18" s="1"/>
  <c r="F9" i="13"/>
  <c r="G9" i="13"/>
  <c r="G29" i="18" s="1"/>
  <c r="G35" i="18" s="1"/>
  <c r="H9" i="13"/>
  <c r="H29" i="18" s="1"/>
  <c r="H35" i="18" s="1"/>
  <c r="I9" i="13"/>
  <c r="I29" i="18" s="1"/>
  <c r="I35" i="18" s="1"/>
  <c r="J9" i="13"/>
  <c r="K9" i="13"/>
  <c r="K29" i="18" s="1"/>
  <c r="K35" i="18" s="1"/>
  <c r="L9" i="13"/>
  <c r="L29" i="18" s="1"/>
  <c r="L35" i="18" s="1"/>
  <c r="C9" i="13"/>
  <c r="C29" i="18" s="1"/>
  <c r="D6" i="13"/>
  <c r="E6" i="13"/>
  <c r="F6" i="13"/>
  <c r="G6" i="13"/>
  <c r="H6" i="13"/>
  <c r="I6" i="13"/>
  <c r="J6" i="13"/>
  <c r="K6" i="13"/>
  <c r="L6" i="13"/>
  <c r="C6" i="13"/>
  <c r="M36" i="13"/>
  <c r="L41" i="13" s="1"/>
  <c r="L9" i="18" s="1"/>
  <c r="F22" i="13"/>
  <c r="M18" i="13"/>
  <c r="K73" i="12"/>
  <c r="J73" i="12"/>
  <c r="I73" i="12"/>
  <c r="H73" i="12"/>
  <c r="K51" i="12"/>
  <c r="J51" i="12"/>
  <c r="I51" i="12"/>
  <c r="H51" i="12"/>
  <c r="G51" i="12"/>
  <c r="F51" i="12"/>
  <c r="E51" i="12"/>
  <c r="D51" i="12"/>
  <c r="C51" i="12"/>
  <c r="B51" i="12"/>
  <c r="K34" i="12"/>
  <c r="E8" i="17" s="1"/>
  <c r="J34" i="12"/>
  <c r="I34" i="12"/>
  <c r="H34" i="12"/>
  <c r="G34" i="12"/>
  <c r="F34" i="12"/>
  <c r="E34" i="12"/>
  <c r="D34" i="12"/>
  <c r="C34" i="12"/>
  <c r="B34" i="12"/>
  <c r="K32" i="12"/>
  <c r="J32" i="12"/>
  <c r="I32" i="12"/>
  <c r="H32" i="12"/>
  <c r="G32" i="12"/>
  <c r="F32" i="12"/>
  <c r="E32" i="12"/>
  <c r="D32" i="12"/>
  <c r="C32" i="12"/>
  <c r="B32" i="12"/>
  <c r="K15" i="12"/>
  <c r="B15" i="12"/>
  <c r="B6" i="12"/>
  <c r="C39" i="17" s="1"/>
  <c r="E1" i="12"/>
  <c r="C25" i="13" l="1"/>
  <c r="C18" i="18" s="1"/>
  <c r="C28" i="18"/>
  <c r="C30" i="18"/>
  <c r="C31" i="18"/>
  <c r="C27" i="18"/>
  <c r="I22" i="13"/>
  <c r="I30" i="18"/>
  <c r="I28" i="18"/>
  <c r="I34" i="18" s="1"/>
  <c r="I27" i="18"/>
  <c r="I33" i="18" s="1"/>
  <c r="I31" i="18"/>
  <c r="I5" i="18"/>
  <c r="E22" i="13"/>
  <c r="E30" i="18"/>
  <c r="E5" i="18"/>
  <c r="E28" i="18"/>
  <c r="E34" i="18" s="1"/>
  <c r="E31" i="18"/>
  <c r="E27" i="18"/>
  <c r="E33" i="18" s="1"/>
  <c r="L22" i="13"/>
  <c r="H22" i="13"/>
  <c r="D22" i="13"/>
  <c r="K40" i="18"/>
  <c r="K38" i="18"/>
  <c r="G40" i="18"/>
  <c r="G38" i="18"/>
  <c r="L16" i="13"/>
  <c r="L17" i="18" s="1"/>
  <c r="L30" i="18"/>
  <c r="L27" i="18"/>
  <c r="L33" i="18" s="1"/>
  <c r="L31" i="18"/>
  <c r="L5" i="18"/>
  <c r="L28" i="18"/>
  <c r="L34" i="18" s="1"/>
  <c r="H30" i="18"/>
  <c r="H27" i="18"/>
  <c r="H33" i="18" s="1"/>
  <c r="H31" i="18"/>
  <c r="H28" i="18"/>
  <c r="H34" i="18" s="1"/>
  <c r="H36" i="18" s="1"/>
  <c r="H5" i="18"/>
  <c r="D12" i="13"/>
  <c r="D30" i="18"/>
  <c r="D27" i="18"/>
  <c r="D33" i="18" s="1"/>
  <c r="D31" i="18"/>
  <c r="D28" i="18"/>
  <c r="D34" i="18" s="1"/>
  <c r="D5" i="18"/>
  <c r="J10" i="13"/>
  <c r="J29" i="18"/>
  <c r="J35" i="18" s="1"/>
  <c r="F10" i="13"/>
  <c r="F29" i="18"/>
  <c r="F35" i="18" s="1"/>
  <c r="I16" i="13"/>
  <c r="I17" i="18" s="1"/>
  <c r="D9" i="18"/>
  <c r="L57" i="13"/>
  <c r="D57" i="13"/>
  <c r="J76" i="13"/>
  <c r="J38" i="18"/>
  <c r="J40" i="18"/>
  <c r="F38" i="18"/>
  <c r="F40" i="18"/>
  <c r="D10" i="13"/>
  <c r="H25" i="13"/>
  <c r="H18" i="18" s="1"/>
  <c r="K27" i="18"/>
  <c r="K33" i="18" s="1"/>
  <c r="K36" i="18" s="1"/>
  <c r="K31" i="18"/>
  <c r="K28" i="18"/>
  <c r="K34" i="18" s="1"/>
  <c r="K30" i="18"/>
  <c r="K5" i="18"/>
  <c r="G7" i="13"/>
  <c r="G27" i="18"/>
  <c r="G33" i="18" s="1"/>
  <c r="G31" i="18"/>
  <c r="G28" i="18"/>
  <c r="G34" i="18" s="1"/>
  <c r="G30" i="18"/>
  <c r="G5" i="18"/>
  <c r="O29" i="18"/>
  <c r="C35" i="18"/>
  <c r="I36" i="18"/>
  <c r="E36" i="18"/>
  <c r="I62" i="13"/>
  <c r="C40" i="18"/>
  <c r="C38" i="18"/>
  <c r="I38" i="18"/>
  <c r="I40" i="18"/>
  <c r="E38" i="18"/>
  <c r="E40" i="18"/>
  <c r="H16" i="13"/>
  <c r="H17" i="18" s="1"/>
  <c r="J28" i="18"/>
  <c r="J34" i="18" s="1"/>
  <c r="J27" i="18"/>
  <c r="J33" i="18" s="1"/>
  <c r="J31" i="18"/>
  <c r="J5" i="18"/>
  <c r="J30" i="18"/>
  <c r="F28" i="18"/>
  <c r="F34" i="18" s="1"/>
  <c r="F36" i="18" s="1"/>
  <c r="F27" i="18"/>
  <c r="F33" i="18" s="1"/>
  <c r="F31" i="18"/>
  <c r="F5" i="18"/>
  <c r="F30" i="18"/>
  <c r="K9" i="18"/>
  <c r="G9" i="18"/>
  <c r="L40" i="18"/>
  <c r="L39" i="18"/>
  <c r="L38" i="18"/>
  <c r="H40" i="18"/>
  <c r="H38" i="18"/>
  <c r="D40" i="18"/>
  <c r="D39" i="18"/>
  <c r="D38" i="18"/>
  <c r="C16" i="13"/>
  <c r="C17" i="18" s="1"/>
  <c r="J57" i="13"/>
  <c r="H62" i="13"/>
  <c r="M12" i="13"/>
  <c r="M13" i="13" s="1"/>
  <c r="E16" i="13"/>
  <c r="E17" i="18" s="1"/>
  <c r="F8" i="17"/>
  <c r="E10" i="17"/>
  <c r="I57" i="13"/>
  <c r="E57" i="13"/>
  <c r="F57" i="13"/>
  <c r="H57" i="13"/>
  <c r="H64" i="13" s="1"/>
  <c r="H66" i="13" s="1"/>
  <c r="K62" i="13"/>
  <c r="G62" i="13"/>
  <c r="E62" i="13"/>
  <c r="I6" i="17"/>
  <c r="J6" i="17" s="1"/>
  <c r="C57" i="13"/>
  <c r="J62" i="13"/>
  <c r="J64" i="13" s="1"/>
  <c r="D64" i="13"/>
  <c r="D66" i="13" s="1"/>
  <c r="F62" i="13"/>
  <c r="D7" i="13"/>
  <c r="C10" i="13"/>
  <c r="L7" i="13"/>
  <c r="J22" i="13"/>
  <c r="C62" i="13"/>
  <c r="K57" i="13"/>
  <c r="G57" i="13"/>
  <c r="C76" i="13"/>
  <c r="M27" i="13"/>
  <c r="M31" i="13" s="1"/>
  <c r="J13" i="16"/>
  <c r="J33" i="16"/>
  <c r="J35" i="16" s="1"/>
  <c r="H33" i="16"/>
  <c r="H35" i="16" s="1"/>
  <c r="I19" i="16"/>
  <c r="G19" i="16"/>
  <c r="F33" i="16"/>
  <c r="F35" i="16" s="1"/>
  <c r="G13" i="16"/>
  <c r="I13" i="16"/>
  <c r="I21" i="16" s="1"/>
  <c r="H13" i="16"/>
  <c r="G33" i="16"/>
  <c r="G35" i="16" s="1"/>
  <c r="I33" i="16"/>
  <c r="I35" i="16" s="1"/>
  <c r="F13" i="16"/>
  <c r="H19" i="16"/>
  <c r="F19" i="16"/>
  <c r="J19" i="16"/>
  <c r="F76" i="13"/>
  <c r="G76" i="13"/>
  <c r="K76" i="13"/>
  <c r="K64" i="13"/>
  <c r="K66" i="13" s="1"/>
  <c r="L64" i="13"/>
  <c r="L66" i="13" s="1"/>
  <c r="H7" i="13"/>
  <c r="G10" i="13"/>
  <c r="K10" i="13"/>
  <c r="G16" i="13"/>
  <c r="G17" i="18" s="1"/>
  <c r="K16" i="13"/>
  <c r="K17" i="18" s="1"/>
  <c r="C64" i="13"/>
  <c r="C66" i="13" s="1"/>
  <c r="I7" i="13"/>
  <c r="I10" i="13"/>
  <c r="M22" i="13"/>
  <c r="E7" i="13"/>
  <c r="J7" i="13"/>
  <c r="E10" i="13"/>
  <c r="E12" i="13"/>
  <c r="J12" i="13"/>
  <c r="M16" i="13"/>
  <c r="M19" i="13"/>
  <c r="D25" i="13"/>
  <c r="D18" i="18" s="1"/>
  <c r="E64" i="13"/>
  <c r="E66" i="13" s="1"/>
  <c r="D18" i="13"/>
  <c r="D13" i="13"/>
  <c r="D11" i="18" s="1"/>
  <c r="I12" i="13"/>
  <c r="C12" i="13"/>
  <c r="G12" i="13"/>
  <c r="K12" i="13"/>
  <c r="F7" i="13"/>
  <c r="K7" i="13"/>
  <c r="L10" i="13"/>
  <c r="F12" i="13"/>
  <c r="L12" i="13"/>
  <c r="D16" i="13"/>
  <c r="D17" i="18" s="1"/>
  <c r="C22" i="13"/>
  <c r="G22" i="13"/>
  <c r="K22" i="13"/>
  <c r="K25" i="13"/>
  <c r="K18" i="18" s="1"/>
  <c r="M7" i="13"/>
  <c r="H10" i="13"/>
  <c r="M10" i="13"/>
  <c r="H12" i="13"/>
  <c r="E25" i="13"/>
  <c r="E18" i="18" s="1"/>
  <c r="I25" i="13"/>
  <c r="I18" i="18" s="1"/>
  <c r="M25" i="13"/>
  <c r="G25" i="13"/>
  <c r="G18" i="18" s="1"/>
  <c r="L25" i="13"/>
  <c r="L18" i="18" s="1"/>
  <c r="F9" i="11"/>
  <c r="J25" i="1" s="1"/>
  <c r="E15" i="1"/>
  <c r="E16" i="1"/>
  <c r="E14" i="1"/>
  <c r="C33" i="1" s="1"/>
  <c r="D15" i="1"/>
  <c r="D16" i="1"/>
  <c r="D14" i="1"/>
  <c r="C32" i="1" l="1"/>
  <c r="E24" i="1"/>
  <c r="J66" i="13"/>
  <c r="J39" i="18"/>
  <c r="I64" i="13"/>
  <c r="H39" i="18"/>
  <c r="J36" i="18"/>
  <c r="N38" i="18"/>
  <c r="O38" i="18"/>
  <c r="N29" i="18"/>
  <c r="L36" i="18"/>
  <c r="O31" i="18"/>
  <c r="N31" i="18"/>
  <c r="O17" i="18"/>
  <c r="N17" i="18"/>
  <c r="C39" i="18"/>
  <c r="G36" i="18"/>
  <c r="N5" i="18"/>
  <c r="O5" i="18"/>
  <c r="O30" i="18"/>
  <c r="N30" i="18"/>
  <c r="G15" i="1"/>
  <c r="D21" i="18"/>
  <c r="D25" i="18"/>
  <c r="D13" i="18"/>
  <c r="D19" i="18" s="1"/>
  <c r="G64" i="13"/>
  <c r="E39" i="18"/>
  <c r="O40" i="18"/>
  <c r="N40" i="18"/>
  <c r="O35" i="18"/>
  <c r="N35" i="18"/>
  <c r="D36" i="18"/>
  <c r="N28" i="18"/>
  <c r="O28" i="18"/>
  <c r="C34" i="18"/>
  <c r="O9" i="18"/>
  <c r="N9" i="18"/>
  <c r="K39" i="18"/>
  <c r="O27" i="18"/>
  <c r="C33" i="18"/>
  <c r="N27" i="18"/>
  <c r="N18" i="18"/>
  <c r="O18" i="18"/>
  <c r="H14" i="1"/>
  <c r="H16" i="1"/>
  <c r="F10" i="17"/>
  <c r="G8" i="17"/>
  <c r="F64" i="13"/>
  <c r="M28" i="13"/>
  <c r="M33" i="13"/>
  <c r="M38" i="13" s="1"/>
  <c r="H15" i="1"/>
  <c r="J21" i="16"/>
  <c r="J45" i="16" s="1"/>
  <c r="J51" i="16" s="1"/>
  <c r="I37" i="16"/>
  <c r="G21" i="16"/>
  <c r="F21" i="16"/>
  <c r="F37" i="16" s="1"/>
  <c r="H21" i="16"/>
  <c r="L18" i="13"/>
  <c r="L13" i="13"/>
  <c r="L11" i="18" s="1"/>
  <c r="F13" i="13"/>
  <c r="F11" i="18" s="1"/>
  <c r="F18" i="13"/>
  <c r="K13" i="13"/>
  <c r="K11" i="18" s="1"/>
  <c r="K18" i="13"/>
  <c r="G13" i="13"/>
  <c r="G11" i="18" s="1"/>
  <c r="G18" i="13"/>
  <c r="D19" i="13"/>
  <c r="D12" i="18" s="1"/>
  <c r="D27" i="13"/>
  <c r="H18" i="13"/>
  <c r="H13" i="13"/>
  <c r="H11" i="18" s="1"/>
  <c r="C18" i="13"/>
  <c r="C13" i="13"/>
  <c r="C11" i="18" s="1"/>
  <c r="J18" i="13"/>
  <c r="J13" i="13"/>
  <c r="J11" i="18" s="1"/>
  <c r="I18" i="13"/>
  <c r="I13" i="13"/>
  <c r="I11" i="18" s="1"/>
  <c r="E18" i="13"/>
  <c r="E13" i="13"/>
  <c r="E11" i="18" s="1"/>
  <c r="G16" i="1"/>
  <c r="G14" i="1"/>
  <c r="G7" i="18" l="1"/>
  <c r="G21" i="18"/>
  <c r="G25" i="18"/>
  <c r="G6" i="18"/>
  <c r="G13" i="18"/>
  <c r="G19" i="18" s="1"/>
  <c r="F7" i="18"/>
  <c r="F21" i="18"/>
  <c r="F25" i="18"/>
  <c r="F13" i="18"/>
  <c r="F19" i="18" s="1"/>
  <c r="F6" i="18"/>
  <c r="C36" i="18"/>
  <c r="N34" i="18"/>
  <c r="O34" i="18"/>
  <c r="I66" i="13"/>
  <c r="I39" i="18"/>
  <c r="I21" i="18"/>
  <c r="I25" i="18"/>
  <c r="I13" i="18"/>
  <c r="I19" i="18" s="1"/>
  <c r="I6" i="18"/>
  <c r="I7" i="18"/>
  <c r="L21" i="18"/>
  <c r="L25" i="18"/>
  <c r="L13" i="18"/>
  <c r="L19" i="18" s="1"/>
  <c r="L6" i="18"/>
  <c r="L7" i="18"/>
  <c r="N33" i="18"/>
  <c r="O33" i="18"/>
  <c r="E21" i="18"/>
  <c r="E25" i="18"/>
  <c r="E13" i="18"/>
  <c r="E19" i="18" s="1"/>
  <c r="E6" i="18"/>
  <c r="E7" i="18"/>
  <c r="G66" i="13"/>
  <c r="G39" i="18"/>
  <c r="N39" i="18"/>
  <c r="C25" i="18"/>
  <c r="C13" i="18"/>
  <c r="C21" i="18"/>
  <c r="J7" i="18"/>
  <c r="J21" i="18"/>
  <c r="J25" i="18"/>
  <c r="J13" i="18"/>
  <c r="J19" i="18" s="1"/>
  <c r="J6" i="18"/>
  <c r="H21" i="18"/>
  <c r="H25" i="18"/>
  <c r="H13" i="18"/>
  <c r="H19" i="18" s="1"/>
  <c r="H6" i="18"/>
  <c r="H7" i="18"/>
  <c r="O11" i="18"/>
  <c r="N11" i="18"/>
  <c r="K7" i="18"/>
  <c r="K13" i="18"/>
  <c r="K19" i="18" s="1"/>
  <c r="K21" i="18"/>
  <c r="K25" i="18"/>
  <c r="K6" i="18"/>
  <c r="F66" i="13"/>
  <c r="F39" i="18"/>
  <c r="O39" i="18" s="1"/>
  <c r="D7" i="18"/>
  <c r="D6" i="18"/>
  <c r="H8" i="17"/>
  <c r="G10" i="17"/>
  <c r="M34" i="13"/>
  <c r="J37" i="16"/>
  <c r="H37" i="16"/>
  <c r="H45" i="16"/>
  <c r="H51" i="16" s="1"/>
  <c r="G37" i="16"/>
  <c r="G45" i="16"/>
  <c r="G51" i="16" s="1"/>
  <c r="I45" i="16"/>
  <c r="I51" i="16" s="1"/>
  <c r="F27" i="13"/>
  <c r="F19" i="13"/>
  <c r="F12" i="18" s="1"/>
  <c r="G27" i="13"/>
  <c r="G19" i="13"/>
  <c r="G12" i="18" s="1"/>
  <c r="J27" i="13"/>
  <c r="H38" i="16" s="1"/>
  <c r="H47" i="16" s="1"/>
  <c r="J19" i="13"/>
  <c r="J12" i="18" s="1"/>
  <c r="K27" i="13"/>
  <c r="I38" i="16" s="1"/>
  <c r="I47" i="16" s="1"/>
  <c r="K19" i="13"/>
  <c r="K12" i="18" s="1"/>
  <c r="E19" i="13"/>
  <c r="E12" i="18" s="1"/>
  <c r="E27" i="13"/>
  <c r="H19" i="13"/>
  <c r="H12" i="18" s="1"/>
  <c r="H27" i="13"/>
  <c r="F38" i="16" s="1"/>
  <c r="F47" i="16" s="1"/>
  <c r="D33" i="13"/>
  <c r="D31" i="13"/>
  <c r="D28" i="13"/>
  <c r="D14" i="18" s="1"/>
  <c r="M42" i="13"/>
  <c r="M44" i="13" s="1"/>
  <c r="I19" i="13"/>
  <c r="I12" i="18" s="1"/>
  <c r="I27" i="13"/>
  <c r="G38" i="16" s="1"/>
  <c r="G47" i="16" s="1"/>
  <c r="C19" i="13"/>
  <c r="C12" i="18" s="1"/>
  <c r="C27" i="13"/>
  <c r="L27" i="13"/>
  <c r="J38" i="16" s="1"/>
  <c r="J47" i="16" s="1"/>
  <c r="J53" i="16" s="1"/>
  <c r="J60" i="16" s="1"/>
  <c r="L19" i="13"/>
  <c r="L12" i="18" s="1"/>
  <c r="J10" i="5"/>
  <c r="J14" i="1"/>
  <c r="G114" i="5"/>
  <c r="D114" i="5"/>
  <c r="G113" i="5"/>
  <c r="D113" i="5"/>
  <c r="G112" i="5"/>
  <c r="D112" i="5"/>
  <c r="G111" i="5"/>
  <c r="D111" i="5"/>
  <c r="G110" i="5"/>
  <c r="D110" i="5"/>
  <c r="G109" i="5"/>
  <c r="D109" i="5"/>
  <c r="G108" i="5"/>
  <c r="D108" i="5"/>
  <c r="G107" i="5"/>
  <c r="D107" i="5"/>
  <c r="G106" i="5"/>
  <c r="D106" i="5"/>
  <c r="G105" i="5"/>
  <c r="D105" i="5"/>
  <c r="G104" i="5"/>
  <c r="D104" i="5"/>
  <c r="G103" i="5"/>
  <c r="D103" i="5"/>
  <c r="G102" i="5"/>
  <c r="D102" i="5"/>
  <c r="G101" i="5"/>
  <c r="D101" i="5"/>
  <c r="G100" i="5"/>
  <c r="D100" i="5"/>
  <c r="G99" i="5"/>
  <c r="D99" i="5"/>
  <c r="G98" i="5"/>
  <c r="D98" i="5"/>
  <c r="G97" i="5"/>
  <c r="D97" i="5"/>
  <c r="G96" i="5"/>
  <c r="D96" i="5"/>
  <c r="G95" i="5"/>
  <c r="D95" i="5"/>
  <c r="G94" i="5"/>
  <c r="D94" i="5"/>
  <c r="G93" i="5"/>
  <c r="D93" i="5"/>
  <c r="G92" i="5"/>
  <c r="D92" i="5"/>
  <c r="G91" i="5"/>
  <c r="D91" i="5"/>
  <c r="G90" i="5"/>
  <c r="D90" i="5"/>
  <c r="G89" i="5"/>
  <c r="D89" i="5"/>
  <c r="G88" i="5"/>
  <c r="D88" i="5"/>
  <c r="G87" i="5"/>
  <c r="D87" i="5"/>
  <c r="G86" i="5"/>
  <c r="D86" i="5"/>
  <c r="G85" i="5"/>
  <c r="D85" i="5"/>
  <c r="G84" i="5"/>
  <c r="D84" i="5"/>
  <c r="G83" i="5"/>
  <c r="D83" i="5"/>
  <c r="G82" i="5"/>
  <c r="D82" i="5"/>
  <c r="G81" i="5"/>
  <c r="D81" i="5"/>
  <c r="G80" i="5"/>
  <c r="D80" i="5"/>
  <c r="G79" i="5"/>
  <c r="D79" i="5"/>
  <c r="G78" i="5"/>
  <c r="D78" i="5"/>
  <c r="G77" i="5"/>
  <c r="D77" i="5"/>
  <c r="G76" i="5"/>
  <c r="D76" i="5"/>
  <c r="G75" i="5"/>
  <c r="D75" i="5"/>
  <c r="G74" i="5"/>
  <c r="D74" i="5"/>
  <c r="G73" i="5"/>
  <c r="D73" i="5"/>
  <c r="G72" i="5"/>
  <c r="D72" i="5"/>
  <c r="G71" i="5"/>
  <c r="D71" i="5"/>
  <c r="G70" i="5"/>
  <c r="D70" i="5"/>
  <c r="G69" i="5"/>
  <c r="D69" i="5"/>
  <c r="G68" i="5"/>
  <c r="D68" i="5"/>
  <c r="G67" i="5"/>
  <c r="D67" i="5"/>
  <c r="G66" i="5"/>
  <c r="D66" i="5"/>
  <c r="G65" i="5"/>
  <c r="D65" i="5"/>
  <c r="G64" i="5"/>
  <c r="D64" i="5"/>
  <c r="G63" i="5"/>
  <c r="D63" i="5"/>
  <c r="G62" i="5"/>
  <c r="D62" i="5"/>
  <c r="G61" i="5"/>
  <c r="D61" i="5"/>
  <c r="G60" i="5"/>
  <c r="D60" i="5"/>
  <c r="G59" i="5"/>
  <c r="D59" i="5"/>
  <c r="G58" i="5"/>
  <c r="D58" i="5"/>
  <c r="G57" i="5"/>
  <c r="D57" i="5"/>
  <c r="G56" i="5"/>
  <c r="D56" i="5"/>
  <c r="G55" i="5"/>
  <c r="D55" i="5"/>
  <c r="G54" i="5"/>
  <c r="D54" i="5"/>
  <c r="G53" i="5"/>
  <c r="D53" i="5"/>
  <c r="G52" i="5"/>
  <c r="D52" i="5"/>
  <c r="G51" i="5"/>
  <c r="D51" i="5"/>
  <c r="G50" i="5"/>
  <c r="D50" i="5"/>
  <c r="G49" i="5"/>
  <c r="D49" i="5"/>
  <c r="G48" i="5"/>
  <c r="D48" i="5"/>
  <c r="G47" i="5"/>
  <c r="D47" i="5"/>
  <c r="G46" i="5"/>
  <c r="D46" i="5"/>
  <c r="G45" i="5"/>
  <c r="D45" i="5"/>
  <c r="G44" i="5"/>
  <c r="D44" i="5"/>
  <c r="G43" i="5"/>
  <c r="D43" i="5"/>
  <c r="G42" i="5"/>
  <c r="D42" i="5"/>
  <c r="G41" i="5"/>
  <c r="D41" i="5"/>
  <c r="G40" i="5"/>
  <c r="D40" i="5"/>
  <c r="G39" i="5"/>
  <c r="D39" i="5"/>
  <c r="G38" i="5"/>
  <c r="D38" i="5"/>
  <c r="G37" i="5"/>
  <c r="D37" i="5"/>
  <c r="G36" i="5"/>
  <c r="D36" i="5"/>
  <c r="G35" i="5"/>
  <c r="D35" i="5"/>
  <c r="G34" i="5"/>
  <c r="D34" i="5"/>
  <c r="G33" i="5"/>
  <c r="D33" i="5"/>
  <c r="G32" i="5"/>
  <c r="D32" i="5"/>
  <c r="G31" i="5"/>
  <c r="D31" i="5"/>
  <c r="G30" i="5"/>
  <c r="D30" i="5"/>
  <c r="G29" i="5"/>
  <c r="D29" i="5"/>
  <c r="G28" i="5"/>
  <c r="D28" i="5"/>
  <c r="G27" i="5"/>
  <c r="D27" i="5"/>
  <c r="G26" i="5"/>
  <c r="D26" i="5"/>
  <c r="G25" i="5"/>
  <c r="D25" i="5"/>
  <c r="G24" i="5"/>
  <c r="D24" i="5"/>
  <c r="G23" i="5"/>
  <c r="D23" i="5"/>
  <c r="G22" i="5"/>
  <c r="D22" i="5"/>
  <c r="G21" i="5"/>
  <c r="D21" i="5"/>
  <c r="G20" i="5"/>
  <c r="D20" i="5"/>
  <c r="G19" i="5"/>
  <c r="D19" i="5"/>
  <c r="G18" i="5"/>
  <c r="D18" i="5"/>
  <c r="G17" i="5"/>
  <c r="D17" i="5"/>
  <c r="G16" i="5"/>
  <c r="D16" i="5"/>
  <c r="G15" i="5"/>
  <c r="D15" i="5"/>
  <c r="G14" i="5"/>
  <c r="D14" i="5"/>
  <c r="G13" i="5"/>
  <c r="D13" i="5"/>
  <c r="G12" i="5"/>
  <c r="D12" i="5"/>
  <c r="J16" i="5" l="1"/>
  <c r="J237" i="5"/>
  <c r="J127" i="5"/>
  <c r="M10" i="5"/>
  <c r="M11" i="5"/>
  <c r="N6" i="18"/>
  <c r="O6" i="18"/>
  <c r="N7" i="18"/>
  <c r="O7" i="18"/>
  <c r="O21" i="18"/>
  <c r="N21" i="18"/>
  <c r="O36" i="18"/>
  <c r="N36" i="18"/>
  <c r="D23" i="18"/>
  <c r="C19" i="18"/>
  <c r="N13" i="18"/>
  <c r="O13" i="18"/>
  <c r="O12" i="18"/>
  <c r="N12" i="18"/>
  <c r="O25" i="18"/>
  <c r="N25" i="18"/>
  <c r="H10" i="17"/>
  <c r="I8" i="17"/>
  <c r="I40" i="16"/>
  <c r="I61" i="16" s="1"/>
  <c r="G40" i="16"/>
  <c r="G61" i="16" s="1"/>
  <c r="J40" i="16"/>
  <c r="J61" i="16" s="1"/>
  <c r="J63" i="16" s="1"/>
  <c r="H53" i="16"/>
  <c r="H60" i="16" s="1"/>
  <c r="G53" i="16"/>
  <c r="G60" i="16" s="1"/>
  <c r="I53" i="16"/>
  <c r="I60" i="16" s="1"/>
  <c r="H40" i="16"/>
  <c r="H61" i="16" s="1"/>
  <c r="F40" i="16"/>
  <c r="D38" i="13"/>
  <c r="D34" i="13"/>
  <c r="D15" i="18" s="1"/>
  <c r="F33" i="13"/>
  <c r="F28" i="13"/>
  <c r="F14" i="18" s="1"/>
  <c r="F31" i="13"/>
  <c r="I33" i="13"/>
  <c r="I28" i="13"/>
  <c r="I14" i="18" s="1"/>
  <c r="I31" i="13"/>
  <c r="H33" i="13"/>
  <c r="H31" i="13"/>
  <c r="H28" i="13"/>
  <c r="H14" i="18" s="1"/>
  <c r="L33" i="13"/>
  <c r="L31" i="13"/>
  <c r="L28" i="13"/>
  <c r="L14" i="18" s="1"/>
  <c r="K28" i="13"/>
  <c r="K14" i="18" s="1"/>
  <c r="K33" i="13"/>
  <c r="K31" i="13"/>
  <c r="G28" i="13"/>
  <c r="G14" i="18" s="1"/>
  <c r="G33" i="13"/>
  <c r="G31" i="13"/>
  <c r="C28" i="13"/>
  <c r="C14" i="18" s="1"/>
  <c r="C33" i="13"/>
  <c r="C23" i="18" s="1"/>
  <c r="C31" i="13"/>
  <c r="E33" i="13"/>
  <c r="E28" i="13"/>
  <c r="E14" i="18" s="1"/>
  <c r="E31" i="13"/>
  <c r="J33" i="13"/>
  <c r="J28" i="13"/>
  <c r="J14" i="18" s="1"/>
  <c r="J31" i="13"/>
  <c r="C34" i="1"/>
  <c r="D33" i="1" s="1"/>
  <c r="I18" i="1"/>
  <c r="F19" i="1"/>
  <c r="E25" i="1" s="1"/>
  <c r="J33" i="1" s="1"/>
  <c r="F18" i="1"/>
  <c r="J15" i="1"/>
  <c r="J16" i="1"/>
  <c r="G19" i="1"/>
  <c r="N14" i="18" l="1"/>
  <c r="O14" i="18"/>
  <c r="H23" i="18"/>
  <c r="H8" i="18"/>
  <c r="E23" i="18"/>
  <c r="E8" i="18"/>
  <c r="K23" i="18"/>
  <c r="K8" i="18"/>
  <c r="L23" i="18"/>
  <c r="L8" i="18"/>
  <c r="N19" i="18"/>
  <c r="O19" i="18"/>
  <c r="J23" i="18"/>
  <c r="J8" i="18"/>
  <c r="G23" i="18"/>
  <c r="G8" i="18"/>
  <c r="F23" i="18"/>
  <c r="F8" i="18"/>
  <c r="D8" i="18"/>
  <c r="N23" i="18"/>
  <c r="I23" i="18"/>
  <c r="I8" i="18"/>
  <c r="I10" i="17"/>
  <c r="J8" i="17"/>
  <c r="J10" i="17" s="1"/>
  <c r="J12" i="17" s="1"/>
  <c r="I63" i="16"/>
  <c r="E11" i="17"/>
  <c r="H63" i="16"/>
  <c r="J38" i="13"/>
  <c r="J34" i="13"/>
  <c r="J15" i="18" s="1"/>
  <c r="G34" i="13"/>
  <c r="G15" i="18" s="1"/>
  <c r="G38" i="13"/>
  <c r="F34" i="13"/>
  <c r="F15" i="18" s="1"/>
  <c r="F38" i="13"/>
  <c r="L38" i="13"/>
  <c r="L34" i="13"/>
  <c r="L15" i="18" s="1"/>
  <c r="C34" i="13"/>
  <c r="C15" i="18" s="1"/>
  <c r="C38" i="13"/>
  <c r="D39" i="13" s="1"/>
  <c r="I38" i="13"/>
  <c r="I34" i="13"/>
  <c r="I15" i="18" s="1"/>
  <c r="E38" i="13"/>
  <c r="E34" i="13"/>
  <c r="E15" i="18" s="1"/>
  <c r="K34" i="13"/>
  <c r="K15" i="18" s="1"/>
  <c r="K38" i="13"/>
  <c r="H38" i="13"/>
  <c r="H34" i="13"/>
  <c r="H15" i="18" s="1"/>
  <c r="D42" i="13"/>
  <c r="D44" i="13" s="1"/>
  <c r="D22" i="18" s="1"/>
  <c r="D24" i="18" s="1"/>
  <c r="E26" i="1"/>
  <c r="J41" i="1" s="1"/>
  <c r="D34" i="1"/>
  <c r="E34" i="1" s="1"/>
  <c r="D32" i="1"/>
  <c r="D36" i="1" s="1"/>
  <c r="H19" i="1"/>
  <c r="E32" i="1" s="1"/>
  <c r="J42" i="1" s="1"/>
  <c r="G18" i="1"/>
  <c r="H18" i="1"/>
  <c r="O15" i="18" l="1"/>
  <c r="N15" i="18"/>
  <c r="O8" i="18"/>
  <c r="N8" i="18"/>
  <c r="O23" i="18"/>
  <c r="C24" i="17"/>
  <c r="F11" i="17"/>
  <c r="E12" i="17"/>
  <c r="K39" i="13"/>
  <c r="K44" i="13"/>
  <c r="K22" i="18" s="1"/>
  <c r="K24" i="18" s="1"/>
  <c r="K42" i="13"/>
  <c r="G39" i="13"/>
  <c r="G42" i="13"/>
  <c r="G44" i="13" s="1"/>
  <c r="G22" i="18" s="1"/>
  <c r="G24" i="18" s="1"/>
  <c r="I44" i="13"/>
  <c r="I22" i="18" s="1"/>
  <c r="I24" i="18" s="1"/>
  <c r="I39" i="13"/>
  <c r="I42" i="13"/>
  <c r="C42" i="13"/>
  <c r="C44" i="13" s="1"/>
  <c r="C22" i="18" s="1"/>
  <c r="F39" i="13"/>
  <c r="F42" i="13"/>
  <c r="F44" i="13" s="1"/>
  <c r="F22" i="18" s="1"/>
  <c r="F24" i="18" s="1"/>
  <c r="L42" i="13"/>
  <c r="L44" i="13" s="1"/>
  <c r="L22" i="18" s="1"/>
  <c r="L24" i="18" s="1"/>
  <c r="L39" i="13"/>
  <c r="M39" i="13"/>
  <c r="H42" i="13"/>
  <c r="H44" i="13" s="1"/>
  <c r="H22" i="18" s="1"/>
  <c r="H24" i="18" s="1"/>
  <c r="H39" i="13"/>
  <c r="E39" i="13"/>
  <c r="E42" i="13"/>
  <c r="E44" i="13" s="1"/>
  <c r="E22" i="18" s="1"/>
  <c r="E24" i="18" s="1"/>
  <c r="J39" i="13"/>
  <c r="J42" i="13"/>
  <c r="J44" i="13" s="1"/>
  <c r="J22" i="18" s="1"/>
  <c r="J24" i="18" s="1"/>
  <c r="E33" i="1"/>
  <c r="J39" i="1" s="1"/>
  <c r="J19" i="1"/>
  <c r="J31" i="1" s="1"/>
  <c r="J18" i="1"/>
  <c r="O22" i="18" l="1"/>
  <c r="N22" i="18"/>
  <c r="C24" i="18"/>
  <c r="G11" i="17"/>
  <c r="F12" i="17"/>
  <c r="E36" i="1"/>
  <c r="J32" i="1" s="1"/>
  <c r="J34" i="1" l="1"/>
  <c r="J26" i="1" s="1"/>
  <c r="N24" i="18"/>
  <c r="O24" i="18"/>
  <c r="H11" i="17"/>
  <c r="G12" i="17"/>
  <c r="J27" i="1" l="1"/>
  <c r="J38" i="1" s="1"/>
  <c r="I11" i="17"/>
  <c r="I12" i="17" s="1"/>
  <c r="H12" i="17"/>
  <c r="J44" i="1" l="1"/>
  <c r="C20" i="17" s="1"/>
  <c r="G14" i="17" l="1"/>
  <c r="G16" i="17" s="1"/>
  <c r="H14" i="17"/>
  <c r="H16" i="17" s="1"/>
  <c r="C25" i="17"/>
  <c r="C28" i="17" s="1"/>
  <c r="F14" i="17"/>
  <c r="F16" i="17" s="1"/>
  <c r="C32" i="17" s="1"/>
  <c r="I14" i="17"/>
  <c r="I16" i="17" s="1"/>
  <c r="J14" i="17"/>
  <c r="J16" i="17" s="1"/>
  <c r="C33" i="17" l="1"/>
  <c r="C34" i="17"/>
  <c r="C38" i="17" s="1"/>
  <c r="C41" i="17" s="1"/>
  <c r="C44" i="17" s="1"/>
</calcChain>
</file>

<file path=xl/sharedStrings.xml><?xml version="1.0" encoding="utf-8"?>
<sst xmlns="http://schemas.openxmlformats.org/spreadsheetml/2006/main" count="506" uniqueCount="332">
  <si>
    <t>Weighted Average Cost of Capital</t>
  </si>
  <si>
    <t>India</t>
  </si>
  <si>
    <t>All figures are INR unless stated otherwise</t>
  </si>
  <si>
    <t>Peer Comps</t>
  </si>
  <si>
    <t>Name of the Comp</t>
  </si>
  <si>
    <t>Country</t>
  </si>
  <si>
    <t xml:space="preserve">Total Debt </t>
  </si>
  <si>
    <t xml:space="preserve">Total Equity </t>
  </si>
  <si>
    <t>Tax Rate</t>
  </si>
  <si>
    <r>
      <t xml:space="preserve">Tax Rate </t>
    </r>
    <r>
      <rPr>
        <vertAlign val="superscript"/>
        <sz val="11"/>
        <color theme="1"/>
        <rFont val="Calibri"/>
        <family val="2"/>
      </rPr>
      <t>1</t>
    </r>
  </si>
  <si>
    <t>Debt /</t>
  </si>
  <si>
    <t>Equity</t>
  </si>
  <si>
    <t>Capital</t>
  </si>
  <si>
    <t>Levered</t>
  </si>
  <si>
    <r>
      <t xml:space="preserve">Beta </t>
    </r>
    <r>
      <rPr>
        <vertAlign val="superscript"/>
        <sz val="11"/>
        <color theme="1"/>
        <rFont val="Calibri"/>
        <family val="2"/>
      </rPr>
      <t>3</t>
    </r>
  </si>
  <si>
    <r>
      <t xml:space="preserve">Beta </t>
    </r>
    <r>
      <rPr>
        <vertAlign val="superscript"/>
        <sz val="11"/>
        <color theme="1"/>
        <rFont val="Calibri"/>
        <family val="2"/>
      </rPr>
      <t>2</t>
    </r>
  </si>
  <si>
    <t xml:space="preserve">Unlevered </t>
  </si>
  <si>
    <t>Average</t>
  </si>
  <si>
    <t>Median</t>
  </si>
  <si>
    <t>Cost of Debt</t>
  </si>
  <si>
    <t>Pre-Tax Cost of Debt</t>
  </si>
  <si>
    <t>Post Tax Cost of Debt</t>
  </si>
  <si>
    <t>Risk Free Rate</t>
  </si>
  <si>
    <t>Equity Risk Premium</t>
  </si>
  <si>
    <r>
      <t xml:space="preserve">Levered Beta </t>
    </r>
    <r>
      <rPr>
        <vertAlign val="superscript"/>
        <sz val="11"/>
        <color theme="1"/>
        <rFont val="Calibri"/>
        <family val="2"/>
      </rPr>
      <t>4</t>
    </r>
  </si>
  <si>
    <t>Cost of Equity</t>
  </si>
  <si>
    <t>Capital Structure</t>
  </si>
  <si>
    <t>Target</t>
  </si>
  <si>
    <t>Current</t>
  </si>
  <si>
    <t>Total Debt</t>
  </si>
  <si>
    <t>Market Capitalization</t>
  </si>
  <si>
    <t>Total Capitalization</t>
  </si>
  <si>
    <t>Comps Median Unlevered Beta</t>
  </si>
  <si>
    <t>Target Debt/ Equity</t>
  </si>
  <si>
    <t>Levered Beta</t>
  </si>
  <si>
    <t>Debt / Equity</t>
  </si>
  <si>
    <t>1. Tax Rate considered as Marginal Tax Rate for the country</t>
  </si>
  <si>
    <t>2. Levered Beta is based on 5 year monthly data</t>
  </si>
  <si>
    <t>3. Unlevered Beta = Levered Beta/(1+(1-Tax Rate) x Debt/Equity)</t>
  </si>
  <si>
    <t>4. Levered Beta = Unlevered Beta*(1+(1-Tax Rate) x Debt/Equity)</t>
  </si>
  <si>
    <t>Date</t>
  </si>
  <si>
    <t>Closing Price</t>
  </si>
  <si>
    <t>Return</t>
  </si>
  <si>
    <t>NIFTY Returns</t>
  </si>
  <si>
    <t xml:space="preserve">Beta 1 </t>
  </si>
  <si>
    <t>Beta 2</t>
  </si>
  <si>
    <t>Beta 3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</si>
  <si>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</si>
  <si>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</si>
  <si>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</si>
  <si>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</si>
  <si>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</si>
  <si>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</si>
  <si>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</si>
  <si>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</si>
  <si>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</si>
  <si>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</si>
  <si>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</si>
  <si>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</si>
  <si>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</si>
  <si>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</si>
  <si>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</si>
  <si>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</si>
  <si>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</si>
  <si>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</si>
  <si>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</si>
  <si>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</si>
  <si>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</si>
  <si>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</si>
  <si>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</si>
  <si>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</si>
  <si>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</si>
  <si>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Beta Drifting</t>
  </si>
  <si>
    <t>Levered Raw Beta</t>
  </si>
  <si>
    <t>Raw Beta Weight</t>
  </si>
  <si>
    <t>Market Beta</t>
  </si>
  <si>
    <t>Market Beta Weight</t>
  </si>
  <si>
    <t>Adjusted Beta</t>
  </si>
  <si>
    <t>S.No.</t>
  </si>
  <si>
    <t>Name</t>
  </si>
  <si>
    <t>Debt / Eq</t>
  </si>
  <si>
    <t>CMP Rs.</t>
  </si>
  <si>
    <t xml:space="preserve">Mar Cap Rs.Cr. </t>
  </si>
  <si>
    <t>Debt Rs.Cr.</t>
  </si>
  <si>
    <t>Year</t>
  </si>
  <si>
    <t>Annual</t>
  </si>
  <si>
    <t>Return on Markets</t>
  </si>
  <si>
    <t>Average Market Return</t>
  </si>
  <si>
    <t>Dividend Yield</t>
  </si>
  <si>
    <r>
      <t xml:space="preserve">1.25% </t>
    </r>
    <r>
      <rPr>
        <vertAlign val="superscript"/>
        <sz val="11"/>
        <color theme="1"/>
        <rFont val="Calibri"/>
        <family val="2"/>
      </rPr>
      <t>1</t>
    </r>
    <r>
      <rPr>
        <sz val="11"/>
        <color theme="1"/>
        <rFont val="Calibri"/>
        <family val="2"/>
      </rPr>
      <t xml:space="preserve"> </t>
    </r>
  </si>
  <si>
    <t>Total Market Return</t>
  </si>
  <si>
    <t>Equity Weight</t>
  </si>
  <si>
    <t>Debt Weight</t>
  </si>
  <si>
    <t>WACC</t>
  </si>
  <si>
    <t>#</t>
  </si>
  <si>
    <t>COMPANY NAME</t>
  </si>
  <si>
    <t>ITC LTD</t>
  </si>
  <si>
    <t>LATEST VERSION</t>
  </si>
  <si>
    <t>PLEASE DO NOT MAKE ANY CHANGES TO THIS SHEET</t>
  </si>
  <si>
    <t>CURRENT VERSION</t>
  </si>
  <si>
    <t>META</t>
  </si>
  <si>
    <t>Number of shares</t>
  </si>
  <si>
    <t>Face Value</t>
  </si>
  <si>
    <t>Current Price</t>
  </si>
  <si>
    <t>PROFIT &amp; LOSS</t>
  </si>
  <si>
    <t>Report Date</t>
  </si>
  <si>
    <t>Sales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</si>
  <si>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</si>
  <si>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</si>
  <si>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</si>
  <si>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</si>
  <si>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</si>
  <si>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</si>
  <si>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</si>
  <si>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Other Income</t>
  </si>
  <si>
    <t>Depreciation</t>
  </si>
  <si>
    <t>Interest</t>
  </si>
  <si>
    <t>Profit before tax</t>
  </si>
  <si>
    <t>Tax</t>
  </si>
  <si>
    <t>Net profit</t>
  </si>
  <si>
    <t>Dividend Amount</t>
  </si>
  <si>
    <t>Effective Tax Rate</t>
  </si>
  <si>
    <t>EBITDA</t>
  </si>
  <si>
    <t>Quarters</t>
  </si>
  <si>
    <t>Expenses</t>
  </si>
  <si>
    <t>Operating Profit</t>
  </si>
  <si>
    <t>BALANCE SHEET</t>
  </si>
  <si>
    <t>Equity Share Capital</t>
  </si>
  <si>
    <t>Reserves</t>
  </si>
  <si>
    <t>Borrowings</t>
  </si>
  <si>
    <t>Other Liabilities</t>
  </si>
  <si>
    <t>Net Block</t>
  </si>
  <si>
    <t>Capital Work in Progress</t>
  </si>
  <si>
    <t>Investments</t>
  </si>
  <si>
    <t>Other Assets</t>
  </si>
  <si>
    <t>Receivables</t>
  </si>
  <si>
    <t>Inventory</t>
  </si>
  <si>
    <t>Cash &amp; Bank</t>
  </si>
  <si>
    <t>No. of Equity Shares</t>
  </si>
  <si>
    <t>New Bonus Shares</t>
  </si>
  <si>
    <t>Face value</t>
  </si>
  <si>
    <t>CASH FLOW:</t>
  </si>
  <si>
    <t>Cash from Operating Activity</t>
  </si>
  <si>
    <t>Cash from Investing Activity</t>
  </si>
  <si>
    <t>Cash from Financing Activity</t>
  </si>
  <si>
    <t>Net Cash Flow</t>
  </si>
  <si>
    <t>PRICE:</t>
  </si>
  <si>
    <t>DERIVED:</t>
  </si>
  <si>
    <t>Adjusted Equity Shares in Cr</t>
  </si>
  <si>
    <t>Years</t>
  </si>
  <si>
    <t>LTM</t>
  </si>
  <si>
    <t>Income Statement</t>
  </si>
  <si>
    <t>Sales Growth</t>
  </si>
  <si>
    <t>-</t>
  </si>
  <si>
    <t>COGS</t>
  </si>
  <si>
    <t>COGS % Sales</t>
  </si>
  <si>
    <t>Gross Profit</t>
  </si>
  <si>
    <t>Gross Margins</t>
  </si>
  <si>
    <t>Selling &amp; General Expenses</t>
  </si>
  <si>
    <t>S&amp;G Exp % Sales</t>
  </si>
  <si>
    <t>EBITDA Margins</t>
  </si>
  <si>
    <t>Interest % Sales</t>
  </si>
  <si>
    <t>Depreciation%Sales</t>
  </si>
  <si>
    <t>Earnings Before Tax</t>
  </si>
  <si>
    <t>EBT % Sales</t>
  </si>
  <si>
    <t>Net Profit</t>
  </si>
  <si>
    <t>Net Margins</t>
  </si>
  <si>
    <t>No of Equity Shares</t>
  </si>
  <si>
    <t>Earnings per Share</t>
  </si>
  <si>
    <t>EPS Growth %</t>
  </si>
  <si>
    <t>Dividend per Share</t>
  </si>
  <si>
    <t>Dividend payout ratio</t>
  </si>
  <si>
    <t>Retained Earnings</t>
  </si>
  <si>
    <t>Balance Sheet</t>
  </si>
  <si>
    <t>Total Liabilities</t>
  </si>
  <si>
    <t>Fixed Assets Net Block</t>
  </si>
  <si>
    <t>Total Non Current Assets</t>
  </si>
  <si>
    <t>Total Current Assets</t>
  </si>
  <si>
    <t>Total Assets</t>
  </si>
  <si>
    <t>Check</t>
  </si>
  <si>
    <t>Cash Flow Statements</t>
  </si>
  <si>
    <t>Cash from Operating Activities</t>
  </si>
  <si>
    <t>Cash from Investing Activities</t>
  </si>
  <si>
    <t>Cash from Financing Activities</t>
  </si>
  <si>
    <t>Equity Capital</t>
  </si>
  <si>
    <t>Borrowings -</t>
  </si>
  <si>
    <t>Long term Borrowings</t>
  </si>
  <si>
    <t>Short term Borrowings</t>
  </si>
  <si>
    <t>Lease Liabilities</t>
  </si>
  <si>
    <t>Other Borrowings</t>
  </si>
  <si>
    <t>Other Liabilities -</t>
  </si>
  <si>
    <t>Non controlling int</t>
  </si>
  <si>
    <t>Trade Payables</t>
  </si>
  <si>
    <t>Advance from Customers</t>
  </si>
  <si>
    <t>Other liability items</t>
  </si>
  <si>
    <t>Fixed Assets -</t>
  </si>
  <si>
    <t>Land</t>
  </si>
  <si>
    <t>Building</t>
  </si>
  <si>
    <t>Plant Machinery</t>
  </si>
  <si>
    <t>Equipments</t>
  </si>
  <si>
    <t>Furniture n fittings</t>
  </si>
  <si>
    <t>Vehicles</t>
  </si>
  <si>
    <t>Intangible Assets</t>
  </si>
  <si>
    <t>Other fixed assets</t>
  </si>
  <si>
    <t>Gross Block</t>
  </si>
  <si>
    <t>Accumulated Depreciation</t>
  </si>
  <si>
    <t>CWIP</t>
  </si>
  <si>
    <t>Other Assets -</t>
  </si>
  <si>
    <t>Inventories</t>
  </si>
  <si>
    <t>Cash Equivalents</t>
  </si>
  <si>
    <t>Short term loans</t>
  </si>
  <si>
    <t>Other asset items</t>
  </si>
  <si>
    <t>Particulars</t>
  </si>
  <si>
    <t>Calculation of ROIC</t>
  </si>
  <si>
    <t xml:space="preserve">Current Assets </t>
  </si>
  <si>
    <t>Current Liabilities</t>
  </si>
  <si>
    <t>Total Current Liabilities</t>
  </si>
  <si>
    <t xml:space="preserve">Net Working Capital </t>
  </si>
  <si>
    <t>Non-Current Assets</t>
  </si>
  <si>
    <t>Acuumulated Depreciation</t>
  </si>
  <si>
    <t>Net Non-Current Assets</t>
  </si>
  <si>
    <t>Invested Capital</t>
  </si>
  <si>
    <t>EBIT</t>
  </si>
  <si>
    <t>ROIC</t>
  </si>
  <si>
    <t>Calculation of Reinvestment Rate</t>
  </si>
  <si>
    <t>Net Capex</t>
  </si>
  <si>
    <t>Cash from Operating Activity -</t>
  </si>
  <si>
    <t>Profit from operations</t>
  </si>
  <si>
    <t>Payables</t>
  </si>
  <si>
    <t>Other WC items</t>
  </si>
  <si>
    <t>Working capital changes</t>
  </si>
  <si>
    <t>Direct taxes</t>
  </si>
  <si>
    <t>Cash from Investing Activity -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</si>
  <si>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</si>
  <si>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</si>
  <si>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</si>
  <si>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</si>
  <si>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</si>
  <si>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</si>
  <si>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Investment in group cos</t>
  </si>
  <si>
    <t>Redemp n Canc of Shares</t>
  </si>
  <si>
    <t>Other investing items</t>
  </si>
  <si>
    <t>Cash from Financing Activity -</t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</si>
  <si>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</si>
  <si>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</si>
  <si>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</si>
  <si>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</si>
  <si>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</si>
  <si>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</si>
  <si>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</si>
  <si>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Change in Working Capital</t>
  </si>
  <si>
    <t>Marginal Tax Rate</t>
  </si>
  <si>
    <t>EBIT{1-T}</t>
  </si>
  <si>
    <t xml:space="preserve">Reinvestment </t>
  </si>
  <si>
    <t>Reinvestment Rate</t>
  </si>
  <si>
    <t>4 Year Average</t>
  </si>
  <si>
    <t>4 year Median</t>
  </si>
  <si>
    <t>Intrinsic Growth</t>
  </si>
  <si>
    <t>Calculation of PV of FCFF</t>
  </si>
  <si>
    <t>EBIT(1-T)</t>
  </si>
  <si>
    <t>Less: Reinvestment rate</t>
  </si>
  <si>
    <t>Free Cash Flow to Firm (FCFF)</t>
  </si>
  <si>
    <t>Mid Year Convention</t>
  </si>
  <si>
    <t>Discounting Factor</t>
  </si>
  <si>
    <t>PV of FCFF</t>
  </si>
  <si>
    <t xml:space="preserve">Expected Growth </t>
  </si>
  <si>
    <t>Terminal Growth</t>
  </si>
  <si>
    <t>Calculation of Terminal Value</t>
  </si>
  <si>
    <t>FCFF(n+1)</t>
  </si>
  <si>
    <t>Terminal Growth rate</t>
  </si>
  <si>
    <t>Terminal Value</t>
  </si>
  <si>
    <t>Calculation of Equity Value per Share</t>
  </si>
  <si>
    <t>PV of Terminal value</t>
  </si>
  <si>
    <t>Value of Operating Assets</t>
  </si>
  <si>
    <t>Add: Cash</t>
  </si>
  <si>
    <t>Less: Debt</t>
  </si>
  <si>
    <t>Value of Equity</t>
  </si>
  <si>
    <t>No. of Share</t>
  </si>
  <si>
    <t>Equity Value per Share</t>
  </si>
  <si>
    <t>Share Price</t>
  </si>
  <si>
    <t>Discount/Premium</t>
  </si>
  <si>
    <t>Railway sidings</t>
  </si>
  <si>
    <t>Trade receivables</t>
  </si>
  <si>
    <t>Invest in subsidiaries</t>
  </si>
  <si>
    <t>ITC</t>
  </si>
  <si>
    <t>Godfrey Phillips</t>
  </si>
  <si>
    <t>VST Industries</t>
  </si>
  <si>
    <t>EBITDA Growth</t>
  </si>
  <si>
    <t>EBIT Growth</t>
  </si>
  <si>
    <t>Net Profit Growth</t>
  </si>
  <si>
    <t>Dividend Growth</t>
  </si>
  <si>
    <t>Gross Margin</t>
  </si>
  <si>
    <t>EBITDA Margin</t>
  </si>
  <si>
    <t>EBIT Margin</t>
  </si>
  <si>
    <t>EBT Margin</t>
  </si>
  <si>
    <t>Net Profit Margin</t>
  </si>
  <si>
    <t>Sales Expenses % Sales</t>
  </si>
  <si>
    <t>Depreciation % Sales</t>
  </si>
  <si>
    <t>Operating Income % Sales</t>
  </si>
  <si>
    <t>Return on Capital Employed</t>
  </si>
  <si>
    <t>Retained Earnings%</t>
  </si>
  <si>
    <t>Return on Equity%</t>
  </si>
  <si>
    <t>Self Sustained Growth Rate</t>
  </si>
  <si>
    <t>Interest Coverage Ratio</t>
  </si>
  <si>
    <t>Debtor Turnover Ratio</t>
  </si>
  <si>
    <t>Creditor Turnover Ratio</t>
  </si>
  <si>
    <t>Inventory Turnover</t>
  </si>
  <si>
    <t>Fixed Asset Turnover</t>
  </si>
  <si>
    <t>Capital Turnover Ratio</t>
  </si>
  <si>
    <t>Debtor Days</t>
  </si>
  <si>
    <t>Payable Days</t>
  </si>
  <si>
    <t>Inventory Days</t>
  </si>
  <si>
    <t>Cash Conversion Cycle (in days)</t>
  </si>
  <si>
    <t>CFO/Sales</t>
  </si>
  <si>
    <t>CFO/Total Assets</t>
  </si>
  <si>
    <t>CFO/Total Debt</t>
  </si>
  <si>
    <t>Trend</t>
  </si>
  <si>
    <t xml:space="preserve">Mean </t>
  </si>
  <si>
    <t xml:space="preserve">Year Weight </t>
  </si>
  <si>
    <t xml:space="preserve">Sales </t>
  </si>
  <si>
    <t>EPS</t>
  </si>
  <si>
    <t>EPS Growth</t>
  </si>
  <si>
    <t xml:space="preserve"># </t>
  </si>
  <si>
    <t xml:space="preserve">Particular </t>
  </si>
  <si>
    <t>Total Liablities</t>
  </si>
  <si>
    <t>ITC Regression Beta - 2 Years Weekly</t>
  </si>
  <si>
    <t>ITC Weekly Returns</t>
  </si>
  <si>
    <t>Godfrey Phillips Regression Beta - 2 Years Weekly</t>
  </si>
  <si>
    <t>VST Industries Regression Beta - 2 Years Weekly</t>
  </si>
  <si>
    <t>Godfrey Phillips Weekly Returns</t>
  </si>
  <si>
    <t>VST Industries Weekly Returns</t>
  </si>
  <si>
    <t>Beta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</si>
</sst>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#,##0.0"/>
    <numFmt numFmtId="165" formatCode="[$-409]mmm\-yy;@"/>
    <numFmt numFmtId="166" formatCode="_(* #,##0.00_);_(* \(#,##0.00\);_(* &quot;-&quot;??_);_(@_)"/>
    <numFmt numFmtId="167" formatCode="&quot;₹&quot;\ #,##0.0;\(&quot;₹&quot;\ #,##0.0\);\-"/>
    <numFmt numFmtId="168" formatCode="&quot;₹&quot;\ #,##0.00"/>
    <numFmt numFmtId="169" formatCode="&quot;₹&quot;\ #,##0.00;\(&quot;₹&quot;\ #,##0.00\);\-"/>
    <numFmt numFmtId="170" formatCode="#,##0;\(#,##0\);\-"/>
    <numFmt numFmtId="171" formatCode="mmm/yy&quot;A&quot;"/>
    <numFmt numFmtId="172" formatCode="mmm/yy&quot;F&quot;"/>
    <numFmt numFmtId="173" formatCode="0.000"/>
    <numFmt numFmtId="174" formatCode="0.00\x"/>
    <numFmt numFmtId="175" formatCode="yyyy\A"/>
    <numFmt numFmtId="176" formatCode="yyyy\E"/>
  </numFmts>
  <fonts count="24" x14ac:knownFonts="1">
    <font>
      <sz val="11"/>
      <color theme="1"/>
      <name val="Calibri"/>
      <family val="2"/>
    </font>
    <font>
      <b/>
      <sz val="14"/>
      <color theme="1"/>
      <name val="calibri"/>
      <family val="2"/>
    </font>
    <font>
      <sz val="11"/>
      <color rgb="FF3333FF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12"/>
      <color theme="1"/>
      <name val="Calibri"/>
      <family val="2"/>
      <scheme val="minor"/>
    </font>
    <font>
      <vertAlign val="superscript"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i/>
      <sz val="9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0"/>
      <name val="Calibri"/>
      <family val="2"/>
    </font>
    <font>
      <i/>
      <sz val="11"/>
      <color theme="1"/>
      <name val="Calibri"/>
      <family val="2"/>
    </font>
    <font>
      <sz val="11"/>
      <name val="calibri"/>
      <family val="2"/>
    </font>
    <font>
      <sz val="11"/>
      <color theme="0"/>
      <name val="Calibri"/>
      <family val="2"/>
    </font>
    <font>
      <u/>
      <sz val="11"/>
      <color theme="10"/>
      <name val="Calibri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sz val="10"/>
      <name val="Arial"/>
      <family val="2"/>
    </font>
    <font>
      <i/>
      <sz val="11"/>
      <color theme="0" tint="-0.499984740745262"/>
      <name val="calibri"/>
      <family val="2"/>
    </font>
    <font>
      <sz val="11"/>
      <color rgb="FF22222F"/>
      <name val="Arial"/>
      <family val="2"/>
    </font>
    <font>
      <b/>
      <sz val="1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thin">
        <color theme="8" tint="-0.499984740745262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hair">
        <color rgb="FF002060"/>
      </top>
      <bottom style="hair">
        <color rgb="FF002060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hair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/>
      <bottom style="hair">
        <color auto="1"/>
      </bottom>
      <diagonal/>
    </border>
    <border>
      <left/>
      <right/>
      <top style="thin">
        <color rgb="FF002060"/>
      </top>
      <bottom style="thick">
        <color rgb="FF002060"/>
      </bottom>
      <diagonal/>
    </border>
    <border>
      <left/>
      <right/>
      <top style="hair">
        <color rgb="FF002060"/>
      </top>
      <bottom/>
      <diagonal/>
    </border>
    <border>
      <left/>
      <right/>
      <top/>
      <bottom style="hair">
        <color rgb="FF002060"/>
      </bottom>
      <diagonal/>
    </border>
    <border>
      <left/>
      <right/>
      <top/>
      <bottom style="thin">
        <color rgb="FF002060"/>
      </bottom>
      <diagonal/>
    </border>
  </borders>
  <cellStyleXfs count="8">
    <xf numFmtId="0" fontId="0" fillId="0" borderId="0"/>
    <xf numFmtId="9" fontId="3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  <xf numFmtId="0" fontId="18" fillId="7" borderId="0" applyNumberFormat="0" applyBorder="0" applyAlignment="0" applyProtection="0"/>
    <xf numFmtId="0" fontId="7" fillId="0" borderId="0"/>
    <xf numFmtId="9" fontId="7" fillId="0" borderId="0" applyFont="0" applyFill="0" applyBorder="0" applyAlignment="0" applyProtection="0"/>
  </cellStyleXfs>
  <cellXfs count="190">
    <xf numFmtId="0" fontId="0" fillId="0" borderId="0" xfId="0"/>
    <xf numFmtId="0" fontId="0" fillId="2" borderId="0" xfId="0" applyFill="1"/>
    <xf numFmtId="0" fontId="1" fillId="3" borderId="0" xfId="0" applyFont="1" applyFill="1"/>
    <xf numFmtId="0" fontId="0" fillId="3" borderId="0" xfId="0" applyFill="1"/>
    <xf numFmtId="0" fontId="2" fillId="0" borderId="0" xfId="0" applyFont="1"/>
    <xf numFmtId="10" fontId="2" fillId="0" borderId="0" xfId="0" applyNumberFormat="1" applyFont="1" applyAlignment="1">
      <alignment vertical="top"/>
    </xf>
    <xf numFmtId="0" fontId="0" fillId="0" borderId="0" xfId="0" applyFill="1"/>
    <xf numFmtId="0" fontId="5" fillId="0" borderId="0" xfId="0" applyFont="1"/>
    <xf numFmtId="0" fontId="0" fillId="0" borderId="1" xfId="0" applyBorder="1"/>
    <xf numFmtId="0" fontId="0" fillId="0" borderId="1" xfId="0" applyBorder="1" applyAlignment="1"/>
    <xf numFmtId="0" fontId="0" fillId="0" borderId="2" xfId="0" applyBorder="1"/>
    <xf numFmtId="10" fontId="0" fillId="0" borderId="0" xfId="1" applyNumberFormat="1" applyFont="1"/>
    <xf numFmtId="10" fontId="0" fillId="4" borderId="0" xfId="1" applyNumberFormat="1" applyFont="1" applyFill="1"/>
    <xf numFmtId="2" fontId="0" fillId="0" borderId="0" xfId="0" applyNumberFormat="1"/>
    <xf numFmtId="2" fontId="0" fillId="4" borderId="0" xfId="0" applyNumberFormat="1" applyFill="1"/>
    <xf numFmtId="10" fontId="0" fillId="0" borderId="1" xfId="0" applyNumberFormat="1" applyBorder="1"/>
    <xf numFmtId="10" fontId="0" fillId="0" borderId="2" xfId="0" applyNumberFormat="1" applyBorder="1"/>
    <xf numFmtId="2" fontId="0" fillId="0" borderId="1" xfId="0" applyNumberFormat="1" applyBorder="1"/>
    <xf numFmtId="2" fontId="0" fillId="0" borderId="2" xfId="0" applyNumberFormat="1" applyBorder="1"/>
    <xf numFmtId="0" fontId="0" fillId="0" borderId="3" xfId="0" applyBorder="1"/>
    <xf numFmtId="10" fontId="0" fillId="0" borderId="0" xfId="0" applyNumberFormat="1"/>
    <xf numFmtId="10" fontId="0" fillId="0" borderId="3" xfId="1" applyNumberFormat="1" applyFont="1" applyBorder="1"/>
    <xf numFmtId="0" fontId="4" fillId="0" borderId="2" xfId="0" applyFont="1" applyBorder="1"/>
    <xf numFmtId="0" fontId="4" fillId="0" borderId="2" xfId="0" applyFont="1" applyBorder="1" applyAlignment="1">
      <alignment horizontal="right"/>
    </xf>
    <xf numFmtId="0" fontId="8" fillId="0" borderId="0" xfId="2" applyFont="1"/>
    <xf numFmtId="0" fontId="8" fillId="0" borderId="0" xfId="2" applyFont="1" applyAlignment="1">
      <alignment vertical="top"/>
    </xf>
    <xf numFmtId="10" fontId="2" fillId="0" borderId="0" xfId="0" applyNumberFormat="1" applyFont="1"/>
    <xf numFmtId="10" fontId="0" fillId="4" borderId="3" xfId="1" applyNumberFormat="1" applyFont="1" applyFill="1" applyBorder="1"/>
    <xf numFmtId="10" fontId="0" fillId="0" borderId="3" xfId="0" applyNumberFormat="1" applyBorder="1"/>
    <xf numFmtId="10" fontId="0" fillId="4" borderId="0" xfId="0" applyNumberFormat="1" applyFill="1"/>
    <xf numFmtId="0" fontId="0" fillId="0" borderId="0" xfId="0" applyBorder="1"/>
    <xf numFmtId="2" fontId="0" fillId="4" borderId="3" xfId="0" applyNumberFormat="1" applyFill="1" applyBorder="1"/>
    <xf numFmtId="0" fontId="9" fillId="0" borderId="0" xfId="0" applyFont="1"/>
    <xf numFmtId="164" fontId="0" fillId="0" borderId="3" xfId="0" applyNumberFormat="1" applyBorder="1"/>
    <xf numFmtId="0" fontId="4" fillId="0" borderId="4" xfId="0" applyFont="1" applyBorder="1" applyAlignment="1">
      <alignment horizontal="left"/>
    </xf>
    <xf numFmtId="0" fontId="4" fillId="0" borderId="4" xfId="0" applyFont="1" applyBorder="1" applyAlignment="1">
      <alignment horizontal="right"/>
    </xf>
    <xf numFmtId="14" fontId="0" fillId="0" borderId="0" xfId="0" applyNumberFormat="1" applyAlignment="1">
      <alignment horizontal="left"/>
    </xf>
    <xf numFmtId="0" fontId="4" fillId="0" borderId="0" xfId="0" applyFont="1"/>
    <xf numFmtId="0" fontId="0" fillId="0" borderId="0" xfId="0" applyFill="1" applyBorder="1" applyAlignment="1"/>
    <xf numFmtId="0" fontId="0" fillId="0" borderId="5" xfId="0" applyFill="1" applyBorder="1" applyAlignment="1"/>
    <xf numFmtId="0" fontId="11" fillId="0" borderId="6" xfId="0" applyFont="1" applyFill="1" applyBorder="1" applyAlignment="1">
      <alignment horizontal="center"/>
    </xf>
    <xf numFmtId="0" fontId="11" fillId="0" borderId="6" xfId="0" applyFont="1" applyFill="1" applyBorder="1" applyAlignment="1">
      <alignment horizontal="centerContinuous"/>
    </xf>
    <xf numFmtId="0" fontId="0" fillId="0" borderId="0" xfId="0" applyFont="1" applyFill="1" applyBorder="1" applyAlignment="1">
      <alignment horizontal="right"/>
    </xf>
    <xf numFmtId="0" fontId="0" fillId="5" borderId="0" xfId="0" applyFill="1"/>
    <xf numFmtId="2" fontId="0" fillId="5" borderId="0" xfId="0" applyNumberFormat="1" applyFill="1"/>
    <xf numFmtId="4" fontId="0" fillId="0" borderId="0" xfId="0" applyNumberFormat="1"/>
    <xf numFmtId="14" fontId="0" fillId="0" borderId="0" xfId="0" applyNumberFormat="1" applyAlignment="1">
      <alignment horizontal="right"/>
    </xf>
    <xf numFmtId="164" fontId="12" fillId="0" borderId="0" xfId="0" applyNumberFormat="1" applyFont="1"/>
    <xf numFmtId="10" fontId="12" fillId="0" borderId="0" xfId="0" applyNumberFormat="1" applyFont="1"/>
    <xf numFmtId="0" fontId="0" fillId="0" borderId="0" xfId="0" applyAlignment="1">
      <alignment horizontal="left"/>
    </xf>
    <xf numFmtId="10" fontId="0" fillId="0" borderId="0" xfId="1" applyNumberFormat="1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0" fillId="6" borderId="0" xfId="0" applyFill="1"/>
    <xf numFmtId="10" fontId="0" fillId="6" borderId="0" xfId="0" applyNumberFormat="1" applyFill="1"/>
    <xf numFmtId="0" fontId="4" fillId="0" borderId="0" xfId="0" applyFont="1" applyBorder="1" applyAlignment="1">
      <alignment horizontal="right"/>
    </xf>
    <xf numFmtId="10" fontId="0" fillId="0" borderId="0" xfId="1" applyNumberFormat="1" applyFont="1" applyBorder="1"/>
    <xf numFmtId="10" fontId="0" fillId="0" borderId="0" xfId="0" applyNumberFormat="1" applyBorder="1"/>
    <xf numFmtId="0" fontId="0" fillId="0" borderId="0" xfId="0" applyFill="1" applyBorder="1"/>
    <xf numFmtId="10" fontId="0" fillId="0" borderId="0" xfId="0" applyNumberFormat="1" applyFont="1" applyBorder="1" applyAlignment="1">
      <alignment horizontal="right"/>
    </xf>
    <xf numFmtId="0" fontId="4" fillId="6" borderId="0" xfId="0" applyFont="1" applyFill="1"/>
    <xf numFmtId="0" fontId="11" fillId="0" borderId="0" xfId="0" applyFont="1"/>
    <xf numFmtId="43" fontId="15" fillId="0" borderId="0" xfId="3" applyFont="1" applyBorder="1"/>
    <xf numFmtId="43" fontId="17" fillId="0" borderId="0" xfId="3" applyFont="1" applyBorder="1"/>
    <xf numFmtId="0" fontId="17" fillId="0" borderId="0" xfId="6" applyFont="1"/>
    <xf numFmtId="165" fontId="19" fillId="8" borderId="0" xfId="3" applyNumberFormat="1" applyFont="1" applyFill="1" applyBorder="1"/>
    <xf numFmtId="165" fontId="19" fillId="8" borderId="0" xfId="6" applyNumberFormat="1" applyFont="1" applyFill="1" applyAlignment="1">
      <alignment horizontal="center"/>
    </xf>
    <xf numFmtId="165" fontId="20" fillId="0" borderId="0" xfId="3" applyNumberFormat="1" applyFont="1" applyFill="1" applyBorder="1"/>
    <xf numFmtId="0" fontId="7" fillId="0" borderId="0" xfId="6"/>
    <xf numFmtId="9" fontId="17" fillId="0" borderId="0" xfId="7" applyFont="1" applyBorder="1"/>
    <xf numFmtId="0" fontId="7" fillId="0" borderId="0" xfId="2"/>
    <xf numFmtId="166" fontId="17" fillId="0" borderId="0" xfId="3" applyNumberFormat="1" applyFont="1" applyBorder="1"/>
    <xf numFmtId="0" fontId="10" fillId="9" borderId="0" xfId="0" applyFont="1" applyFill="1"/>
    <xf numFmtId="17" fontId="10" fillId="9" borderId="0" xfId="0" applyNumberFormat="1" applyFont="1" applyFill="1"/>
    <xf numFmtId="17" fontId="10" fillId="9" borderId="0" xfId="0" applyNumberFormat="1" applyFont="1" applyFill="1" applyAlignment="1">
      <alignment horizontal="right"/>
    </xf>
    <xf numFmtId="0" fontId="10" fillId="0" borderId="0" xfId="0" applyFont="1"/>
    <xf numFmtId="17" fontId="10" fillId="0" borderId="0" xfId="0" applyNumberFormat="1" applyFont="1"/>
    <xf numFmtId="17" fontId="10" fillId="0" borderId="0" xfId="0" applyNumberFormat="1" applyFont="1" applyAlignment="1">
      <alignment horizontal="right"/>
    </xf>
    <xf numFmtId="0" fontId="4" fillId="10" borderId="0" xfId="0" applyFont="1" applyFill="1"/>
    <xf numFmtId="0" fontId="0" fillId="10" borderId="0" xfId="0" applyFill="1"/>
    <xf numFmtId="167" fontId="0" fillId="0" borderId="0" xfId="0" applyNumberFormat="1"/>
    <xf numFmtId="0" fontId="21" fillId="0" borderId="0" xfId="0" applyFont="1"/>
    <xf numFmtId="0" fontId="21" fillId="0" borderId="0" xfId="0" applyFont="1" applyAlignment="1">
      <alignment horizontal="right"/>
    </xf>
    <xf numFmtId="10" fontId="21" fillId="0" borderId="0" xfId="1" applyNumberFormat="1" applyFont="1"/>
    <xf numFmtId="0" fontId="4" fillId="0" borderId="7" xfId="0" applyFont="1" applyBorder="1"/>
    <xf numFmtId="168" fontId="4" fillId="0" borderId="7" xfId="0" applyNumberFormat="1" applyFont="1" applyBorder="1"/>
    <xf numFmtId="168" fontId="0" fillId="0" borderId="0" xfId="0" applyNumberFormat="1"/>
    <xf numFmtId="167" fontId="4" fillId="0" borderId="7" xfId="0" applyNumberFormat="1" applyFont="1" applyBorder="1"/>
    <xf numFmtId="169" fontId="0" fillId="0" borderId="0" xfId="0" applyNumberFormat="1"/>
    <xf numFmtId="167" fontId="4" fillId="0" borderId="0" xfId="0" applyNumberFormat="1" applyFont="1"/>
    <xf numFmtId="167" fontId="4" fillId="0" borderId="8" xfId="0" applyNumberFormat="1" applyFont="1" applyBorder="1"/>
    <xf numFmtId="3" fontId="0" fillId="0" borderId="0" xfId="0" applyNumberFormat="1"/>
    <xf numFmtId="0" fontId="4" fillId="5" borderId="0" xfId="0" applyFont="1" applyFill="1"/>
    <xf numFmtId="0" fontId="10" fillId="2" borderId="0" xfId="0" applyFont="1" applyFill="1"/>
    <xf numFmtId="17" fontId="10" fillId="2" borderId="0" xfId="0" applyNumberFormat="1" applyFont="1" applyFill="1"/>
    <xf numFmtId="0" fontId="10" fillId="11" borderId="0" xfId="0" applyFont="1" applyFill="1"/>
    <xf numFmtId="17" fontId="10" fillId="11" borderId="0" xfId="0" applyNumberFormat="1" applyFont="1" applyFill="1"/>
    <xf numFmtId="0" fontId="0" fillId="11" borderId="0" xfId="0" applyFill="1"/>
    <xf numFmtId="3" fontId="4" fillId="0" borderId="0" xfId="0" applyNumberFormat="1" applyFont="1"/>
    <xf numFmtId="0" fontId="4" fillId="0" borderId="9" xfId="0" applyFont="1" applyBorder="1"/>
    <xf numFmtId="3" fontId="4" fillId="0" borderId="9" xfId="0" applyNumberFormat="1" applyFont="1" applyBorder="1"/>
    <xf numFmtId="0" fontId="0" fillId="0" borderId="8" xfId="0" applyBorder="1"/>
    <xf numFmtId="167" fontId="0" fillId="0" borderId="8" xfId="0" applyNumberFormat="1" applyBorder="1"/>
    <xf numFmtId="0" fontId="4" fillId="0" borderId="1" xfId="0" applyFont="1" applyBorder="1"/>
    <xf numFmtId="167" fontId="0" fillId="0" borderId="3" xfId="0" applyNumberFormat="1" applyBorder="1"/>
    <xf numFmtId="0" fontId="4" fillId="0" borderId="0" xfId="0" applyFont="1" applyBorder="1"/>
    <xf numFmtId="167" fontId="0" fillId="0" borderId="0" xfId="0" applyNumberFormat="1" applyBorder="1"/>
    <xf numFmtId="167" fontId="0" fillId="0" borderId="7" xfId="0" applyNumberFormat="1" applyBorder="1"/>
    <xf numFmtId="0" fontId="4" fillId="0" borderId="10" xfId="0" applyFont="1" applyBorder="1"/>
    <xf numFmtId="167" fontId="4" fillId="0" borderId="10" xfId="0" applyNumberFormat="1" applyFont="1" applyBorder="1"/>
    <xf numFmtId="167" fontId="0" fillId="0" borderId="11" xfId="0" applyNumberFormat="1" applyBorder="1"/>
    <xf numFmtId="0" fontId="13" fillId="2" borderId="0" xfId="0" applyFont="1" applyFill="1"/>
    <xf numFmtId="17" fontId="13" fillId="2" borderId="0" xfId="0" applyNumberFormat="1" applyFont="1" applyFill="1"/>
    <xf numFmtId="0" fontId="4" fillId="0" borderId="12" xfId="0" applyFont="1" applyBorder="1"/>
    <xf numFmtId="0" fontId="0" fillId="0" borderId="12" xfId="0" applyBorder="1"/>
    <xf numFmtId="170" fontId="0" fillId="0" borderId="0" xfId="0" applyNumberFormat="1"/>
    <xf numFmtId="170" fontId="0" fillId="0" borderId="8" xfId="0" applyNumberFormat="1" applyBorder="1"/>
    <xf numFmtId="170" fontId="4" fillId="0" borderId="12" xfId="0" applyNumberFormat="1" applyFont="1" applyBorder="1"/>
    <xf numFmtId="170" fontId="4" fillId="0" borderId="0" xfId="0" applyNumberFormat="1" applyFont="1"/>
    <xf numFmtId="0" fontId="4" fillId="0" borderId="13" xfId="0" applyFont="1" applyBorder="1"/>
    <xf numFmtId="170" fontId="4" fillId="0" borderId="13" xfId="0" applyNumberFormat="1" applyFont="1" applyBorder="1"/>
    <xf numFmtId="0" fontId="4" fillId="0" borderId="0" xfId="0" applyFont="1" applyFill="1" applyBorder="1"/>
    <xf numFmtId="0" fontId="0" fillId="0" borderId="13" xfId="0" applyBorder="1"/>
    <xf numFmtId="10" fontId="4" fillId="0" borderId="13" xfId="1" applyNumberFormat="1" applyFont="1" applyBorder="1"/>
    <xf numFmtId="0" fontId="0" fillId="12" borderId="0" xfId="0" applyFill="1"/>
    <xf numFmtId="17" fontId="22" fillId="12" borderId="0" xfId="0" applyNumberFormat="1" applyFont="1" applyFill="1" applyAlignment="1">
      <alignment horizontal="right" vertical="center" wrapText="1" indent="1"/>
    </xf>
    <xf numFmtId="167" fontId="0" fillId="0" borderId="14" xfId="0" applyNumberFormat="1" applyBorder="1"/>
    <xf numFmtId="167" fontId="4" fillId="0" borderId="13" xfId="0" applyNumberFormat="1" applyFont="1" applyBorder="1"/>
    <xf numFmtId="0" fontId="0" fillId="0" borderId="7" xfId="0" applyBorder="1"/>
    <xf numFmtId="170" fontId="0" fillId="0" borderId="7" xfId="0" applyNumberFormat="1" applyBorder="1"/>
    <xf numFmtId="10" fontId="2" fillId="0" borderId="7" xfId="0" applyNumberFormat="1" applyFont="1" applyBorder="1"/>
    <xf numFmtId="10" fontId="4" fillId="5" borderId="0" xfId="0" applyNumberFormat="1" applyFont="1" applyFill="1"/>
    <xf numFmtId="0" fontId="0" fillId="0" borderId="7" xfId="0" applyFont="1" applyBorder="1"/>
    <xf numFmtId="10" fontId="0" fillId="0" borderId="7" xfId="0" applyNumberFormat="1" applyBorder="1"/>
    <xf numFmtId="0" fontId="4" fillId="0" borderId="15" xfId="0" applyFont="1" applyBorder="1"/>
    <xf numFmtId="10" fontId="4" fillId="0" borderId="15" xfId="0" applyNumberFormat="1" applyFont="1" applyBorder="1"/>
    <xf numFmtId="167" fontId="0" fillId="0" borderId="1" xfId="0" applyNumberFormat="1" applyFont="1" applyBorder="1"/>
    <xf numFmtId="171" fontId="10" fillId="2" borderId="0" xfId="0" applyNumberFormat="1" applyFont="1" applyFill="1"/>
    <xf numFmtId="172" fontId="10" fillId="2" borderId="0" xfId="0" applyNumberFormat="1" applyFont="1" applyFill="1"/>
    <xf numFmtId="10" fontId="0" fillId="0" borderId="7" xfId="1" applyNumberFormat="1" applyFont="1" applyBorder="1"/>
    <xf numFmtId="0" fontId="2" fillId="0" borderId="7" xfId="0" applyFont="1" applyBorder="1"/>
    <xf numFmtId="173" fontId="0" fillId="0" borderId="7" xfId="0" applyNumberFormat="1" applyBorder="1"/>
    <xf numFmtId="43" fontId="0" fillId="4" borderId="7" xfId="0" applyNumberFormat="1" applyFill="1" applyBorder="1"/>
    <xf numFmtId="10" fontId="2" fillId="4" borderId="7" xfId="0" applyNumberFormat="1" applyFont="1" applyFill="1" applyBorder="1"/>
    <xf numFmtId="0" fontId="0" fillId="4" borderId="7" xfId="0" applyFill="1" applyBorder="1"/>
    <xf numFmtId="10" fontId="0" fillId="4" borderId="7" xfId="0" applyNumberFormat="1" applyFill="1" applyBorder="1"/>
    <xf numFmtId="0" fontId="0" fillId="4" borderId="0" xfId="0" applyFill="1"/>
    <xf numFmtId="10" fontId="4" fillId="0" borderId="0" xfId="0" applyNumberFormat="1" applyFont="1"/>
    <xf numFmtId="0" fontId="0" fillId="0" borderId="0" xfId="0" applyFont="1"/>
    <xf numFmtId="2" fontId="0" fillId="0" borderId="0" xfId="1" applyNumberFormat="1" applyFont="1"/>
    <xf numFmtId="2" fontId="4" fillId="0" borderId="0" xfId="0" applyNumberFormat="1" applyFont="1"/>
    <xf numFmtId="2" fontId="0" fillId="0" borderId="0" xfId="0" applyNumberFormat="1" applyFont="1"/>
    <xf numFmtId="43" fontId="0" fillId="0" borderId="0" xfId="0" applyNumberFormat="1" applyFont="1"/>
    <xf numFmtId="43" fontId="4" fillId="0" borderId="13" xfId="0" applyNumberFormat="1" applyFont="1" applyBorder="1"/>
    <xf numFmtId="174" fontId="0" fillId="0" borderId="0" xfId="1" applyNumberFormat="1" applyFont="1"/>
    <xf numFmtId="0" fontId="0" fillId="0" borderId="16" xfId="0" applyBorder="1"/>
    <xf numFmtId="0" fontId="0" fillId="0" borderId="17" xfId="0" applyBorder="1"/>
    <xf numFmtId="10" fontId="0" fillId="0" borderId="16" xfId="1" applyNumberFormat="1" applyFont="1" applyBorder="1"/>
    <xf numFmtId="10" fontId="0" fillId="0" borderId="17" xfId="1" applyNumberFormat="1" applyFont="1" applyBorder="1"/>
    <xf numFmtId="174" fontId="0" fillId="0" borderId="17" xfId="0" applyNumberFormat="1" applyBorder="1"/>
    <xf numFmtId="174" fontId="0" fillId="0" borderId="17" xfId="1" applyNumberFormat="1" applyFont="1" applyBorder="1"/>
    <xf numFmtId="174" fontId="0" fillId="0" borderId="16" xfId="0" applyNumberFormat="1" applyBorder="1"/>
    <xf numFmtId="174" fontId="0" fillId="0" borderId="16" xfId="1" applyNumberFormat="1" applyFont="1" applyBorder="1"/>
    <xf numFmtId="174" fontId="0" fillId="0" borderId="0" xfId="0" applyNumberFormat="1" applyBorder="1"/>
    <xf numFmtId="174" fontId="0" fillId="0" borderId="0" xfId="1" applyNumberFormat="1" applyFont="1" applyBorder="1"/>
    <xf numFmtId="1" fontId="0" fillId="0" borderId="16" xfId="0" applyNumberFormat="1" applyBorder="1"/>
    <xf numFmtId="1" fontId="0" fillId="0" borderId="0" xfId="0" applyNumberFormat="1" applyBorder="1"/>
    <xf numFmtId="1" fontId="0" fillId="0" borderId="17" xfId="0" applyNumberFormat="1" applyBorder="1"/>
    <xf numFmtId="175" fontId="0" fillId="0" borderId="0" xfId="0" applyNumberFormat="1"/>
    <xf numFmtId="176" fontId="0" fillId="6" borderId="0" xfId="0" applyNumberFormat="1" applyFill="1"/>
    <xf numFmtId="10" fontId="0" fillId="6" borderId="0" xfId="1" applyNumberFormat="1" applyFont="1" applyFill="1"/>
    <xf numFmtId="10" fontId="4" fillId="6" borderId="0" xfId="1" applyNumberFormat="1" applyFont="1" applyFill="1" applyBorder="1"/>
    <xf numFmtId="2" fontId="4" fillId="0" borderId="13" xfId="0" applyNumberFormat="1" applyFont="1" applyBorder="1"/>
    <xf numFmtId="0" fontId="4" fillId="4" borderId="13" xfId="0" applyFont="1" applyFill="1" applyBorder="1"/>
    <xf numFmtId="0" fontId="4" fillId="0" borderId="18" xfId="0" applyFont="1" applyBorder="1"/>
    <xf numFmtId="17" fontId="4" fillId="0" borderId="18" xfId="0" applyNumberFormat="1" applyFont="1" applyBorder="1"/>
    <xf numFmtId="43" fontId="0" fillId="0" borderId="0" xfId="0" applyNumberFormat="1"/>
    <xf numFmtId="43" fontId="4" fillId="0" borderId="0" xfId="0" applyNumberFormat="1" applyFont="1"/>
    <xf numFmtId="9" fontId="4" fillId="0" borderId="0" xfId="1" applyFont="1"/>
    <xf numFmtId="10" fontId="4" fillId="0" borderId="0" xfId="1" applyNumberFormat="1" applyFont="1"/>
    <xf numFmtId="10" fontId="3" fillId="0" borderId="0" xfId="1" applyNumberFormat="1" applyFont="1"/>
    <xf numFmtId="0" fontId="23" fillId="0" borderId="0" xfId="0" applyFont="1"/>
    <xf numFmtId="14" fontId="0" fillId="0" borderId="0" xfId="0" applyNumberFormat="1"/>
    <xf numFmtId="14" fontId="0" fillId="0" borderId="0" xfId="0" applyNumberFormat="1" applyFont="1" applyAlignment="1">
      <alignment horizontal="left"/>
    </xf>
    <xf numFmtId="2" fontId="12" fillId="0" borderId="0" xfId="0" applyNumberFormat="1" applyFont="1"/>
    <xf numFmtId="0" fontId="10" fillId="2" borderId="0" xfId="0" applyFont="1" applyFill="1" applyAlignment="1">
      <alignment horizontal="center"/>
    </xf>
    <xf numFmtId="0" fontId="10" fillId="9" borderId="0" xfId="0" applyFont="1" applyFill="1" applyAlignment="1">
      <alignment horizontal="center"/>
    </xf>
    <xf numFmtId="43" fontId="10" fillId="2" borderId="0" xfId="0" applyNumberFormat="1" applyFont="1" applyFill="1" applyAlignment="1">
      <alignment horizontal="center"/>
    </xf>
    <xf numFmtId="43" fontId="16" fillId="0" borderId="0" xfId="4" applyNumberFormat="1" applyFont="1" applyBorder="1" applyAlignment="1" applyProtection="1">
      <alignment horizontal="center"/>
    </xf>
    <xf numFmtId="43" fontId="19" fillId="7" borderId="0" xfId="5" applyNumberFormat="1" applyFont="1" applyBorder="1" applyAlignment="1">
      <alignment horizontal="center"/>
    </xf>
  </cellXfs>
  <cellStyles count="8">
    <cellStyle name="Accent6 2" xfId="5"/>
    <cellStyle name="Comma 2" xfId="3"/>
    <cellStyle name="Hyperlink 2" xfId="4"/>
    <cellStyle name="Normal" xfId="0" builtinId="0"/>
    <cellStyle name="Normal 2" xfId="2"/>
    <cellStyle name="Normal 3" xfId="6"/>
    <cellStyle name="Percent" xfId="1" builtinId="5"/>
    <cellStyle name="Percent 3" xfId="7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19051</xdr:colOff>
      <xdr:row>0</xdr:row>
      <xdr:rowOff>0</xdr:rowOff>
    </xdr:from>
    <xdr:to>
      <xdr:col>2</xdr:col>
      <xdr:colOff>91742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211D0C1-5A5C-E3E8-0B7E-225C22F708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657" t="23758" r="1657" b="26515"/>
        <a:stretch/>
      </xdr:blipFill>
      <xdr:spPr>
        <a:xfrm>
          <a:off x="19051" y="0"/>
          <a:ext cx="1472866" cy="7397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19051</xdr:colOff>
      <xdr:row>0</xdr:row>
      <xdr:rowOff>0</xdr:rowOff>
    </xdr:from>
    <xdr:to>
      <xdr:col>2</xdr:col>
      <xdr:colOff>453692</xdr:colOff>
      <xdr:row>3</xdr:row>
      <xdr:rowOff>168275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11D0C1-5A5C-E3E8-0B7E-225C22F708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657" t="23758" r="1657" b="26515"/>
        <a:stretch/>
      </xdr:blipFill>
      <xdr:spPr>
        <a:xfrm>
          <a:off x="19051" y="0"/>
          <a:ext cx="1472866" cy="7397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19051</xdr:colOff>
      <xdr:row>0</xdr:row>
      <xdr:rowOff>0</xdr:rowOff>
    </xdr:from>
    <xdr:to>
      <xdr:col>2</xdr:col>
      <xdr:colOff>758492</xdr:colOff>
      <xdr:row>3</xdr:row>
      <xdr:rowOff>168275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11D0C1-5A5C-E3E8-0B7E-225C22F708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657" t="23758" r="1657" b="26515"/>
        <a:stretch/>
      </xdr:blipFill>
      <xdr:spPr>
        <a:xfrm>
          <a:off x="19051" y="0"/>
          <a:ext cx="1472866" cy="73977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19051</xdr:colOff>
      <xdr:row>0</xdr:row>
      <xdr:rowOff>0</xdr:rowOff>
    </xdr:from>
    <xdr:to>
      <xdr:col>2</xdr:col>
      <xdr:colOff>758492</xdr:colOff>
      <xdr:row>3</xdr:row>
      <xdr:rowOff>168275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211D0C1-5A5C-E3E8-0B7E-225C22F708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657" t="23758" r="1657" b="26515"/>
        <a:stretch/>
      </xdr:blipFill>
      <xdr:spPr>
        <a:xfrm>
          <a:off x="19051" y="0"/>
          <a:ext cx="1472866" cy="7397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19051</xdr:colOff>
      <xdr:row>0</xdr:row>
      <xdr:rowOff>0</xdr:rowOff>
    </xdr:from>
    <xdr:to>
      <xdr:col>3</xdr:col>
      <xdr:colOff>148892</xdr:colOff>
      <xdr:row>3</xdr:row>
      <xdr:rowOff>168275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11D0C1-5A5C-E3E8-0B7E-225C22F708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657" t="23758" r="1657" b="26515"/>
        <a:stretch/>
      </xdr:blipFill>
      <xdr:spPr>
        <a:xfrm>
          <a:off x="19051" y="0"/>
          <a:ext cx="1472866" cy="7397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19051</xdr:colOff>
      <xdr:row>0</xdr:row>
      <xdr:rowOff>0</xdr:rowOff>
    </xdr:from>
    <xdr:to>
      <xdr:col>3</xdr:col>
      <xdr:colOff>148892</xdr:colOff>
      <xdr:row>3</xdr:row>
      <xdr:rowOff>168275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11D0C1-5A5C-E3E8-0B7E-225C22F708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657" t="23758" r="1657" b="26515"/>
        <a:stretch/>
      </xdr:blipFill>
      <xdr:spPr>
        <a:xfrm>
          <a:off x="19051" y="0"/>
          <a:ext cx="1472866" cy="73977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19051</xdr:colOff>
      <xdr:row>0</xdr:row>
      <xdr:rowOff>0</xdr:rowOff>
    </xdr:from>
    <xdr:to>
      <xdr:col>3</xdr:col>
      <xdr:colOff>148892</xdr:colOff>
      <xdr:row>3</xdr:row>
      <xdr:rowOff>168275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211D0C1-5A5C-E3E8-0B7E-225C22F708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657" t="23758" r="1657" b="26515"/>
        <a:stretch/>
      </xdr:blipFill>
      <xdr:spPr>
        <a:xfrm>
          <a:off x="19051" y="0"/>
          <a:ext cx="1472866" cy="7397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19051</xdr:colOff>
      <xdr:row>0</xdr:row>
      <xdr:rowOff>0</xdr:rowOff>
    </xdr:from>
    <xdr:to>
      <xdr:col>1</xdr:col>
      <xdr:colOff>1368092</xdr:colOff>
      <xdr:row>3</xdr:row>
      <xdr:rowOff>168275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11D0C1-5A5C-E3E8-0B7E-225C22F708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657" t="23758" r="1657" b="26515"/>
        <a:stretch/>
      </xdr:blipFill>
      <xdr:spPr>
        <a:xfrm>
          <a:off x="19051" y="0"/>
          <a:ext cx="1472866" cy="73977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19051</xdr:colOff>
      <xdr:row>0</xdr:row>
      <xdr:rowOff>0</xdr:rowOff>
    </xdr:from>
    <xdr:to>
      <xdr:col>1</xdr:col>
      <xdr:colOff>1368092</xdr:colOff>
      <xdr:row>3</xdr:row>
      <xdr:rowOff>168275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211D0C1-5A5C-E3E8-0B7E-225C22F708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657" t="23758" r="1657" b="26515"/>
        <a:stretch/>
      </xdr:blipFill>
      <xdr:spPr>
        <a:xfrm>
          <a:off x="19051" y="0"/>
          <a:ext cx="1472866" cy="7397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azlullah/Financial%20Modelling/Session%2012/DCF%20Modelling-%201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CF&gt;"/>
      <sheetName val="WACC"/>
      <sheetName val="Data&gt;"/>
      <sheetName val="Beta - Regression"/>
      <sheetName val="Beta - Comps"/>
      <sheetName val="Rm"/>
      <sheetName val="Intrisic Growth"/>
      <sheetName val="Raw FS"/>
      <sheetName val="HistoricalFS"/>
      <sheetName val="Data Room&gt;"/>
      <sheetName val="Data 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51">
          <cell r="H51">
            <v>7688.78</v>
          </cell>
          <cell r="I51">
            <v>8538.01</v>
          </cell>
          <cell r="J51">
            <v>4774.119999999999</v>
          </cell>
          <cell r="K51">
            <v>6982.91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s://www.screener.in/excel/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"/>
  <sheetViews>
    <sheetView topLeftCell="A35" workbookViewId="0">
      <selection activeCell="L61" sqref="L61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4"/>
  <sheetViews>
    <sheetView showGridLines="0" zoomScaleNormal="100" workbookViewId="0">
      <pane ySplit="4" topLeftCell="A5" activePane="bottomLeft" state="frozen"/>
      <selection activeCell="K7" sqref="K7"/>
      <selection pane="bottomLeft" activeCell="D14" sqref="D14:E16 G14:J16 F18:J19 E24:E26 J25:J27 C32:E34 J31:J34 D36:E36 J38:J39 J41:J42 J44"/>
    </sheetView>
  </sheetViews>
  <sheetFormatPr defaultRowHeight="15" x14ac:dyDescent="0.25"/>
  <cols>
    <col min="1" max="1" width="1.85546875" customWidth="1"/>
    <col min="2" max="2" width="19.140625" customWidth="1"/>
    <col min="3" max="3" width="9.7109375" bestFit="1" customWidth="1"/>
    <col min="4" max="4" width="10.5703125" bestFit="1" customWidth="1"/>
    <col min="5" max="5" width="11.85546875" bestFit="1" customWidth="1"/>
    <col min="6" max="6" width="9.5703125" bestFit="1" customWidth="1"/>
    <col min="7" max="7" width="18.7109375" customWidth="1"/>
    <col min="8" max="8" width="7.140625" bestFit="1" customWidth="1"/>
    <col min="9" max="9" width="8.140625" bestFit="1" customWidth="1"/>
    <col min="10" max="10" width="20.42578125" bestFit="1" customWidth="1"/>
    <col min="11" max="11" width="12.42578125" bestFit="1" customWidth="1"/>
    <col min="12" max="12" width="20.5703125" style="6" bestFit="1" customWidth="1"/>
    <col min="13" max="16" width="9.140625" style="6"/>
  </cols>
  <sheetData>
    <row r="1" spans="1:1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6" spans="1:11" ht="18.75" x14ac:dyDescent="0.3">
      <c r="B6" s="2" t="s">
        <v>0</v>
      </c>
      <c r="C6" s="3"/>
      <c r="D6" s="3"/>
      <c r="E6" s="3"/>
      <c r="F6" s="3"/>
      <c r="G6" s="3"/>
      <c r="H6" s="3"/>
      <c r="I6" s="3"/>
      <c r="J6" s="3"/>
      <c r="K6" s="3"/>
    </row>
    <row r="8" spans="1:11" ht="15.75" x14ac:dyDescent="0.25">
      <c r="B8" s="7" t="s">
        <v>2</v>
      </c>
    </row>
    <row r="10" spans="1:11" ht="15.75" x14ac:dyDescent="0.25">
      <c r="B10" s="32" t="s">
        <v>3</v>
      </c>
    </row>
    <row r="11" spans="1:11" x14ac:dyDescent="0.25">
      <c r="B11" s="8"/>
      <c r="C11" s="8"/>
      <c r="D11" s="8"/>
      <c r="E11" s="8"/>
      <c r="F11" s="8"/>
      <c r="G11" s="9" t="s">
        <v>10</v>
      </c>
      <c r="H11" s="9" t="s">
        <v>10</v>
      </c>
      <c r="I11" s="9" t="s">
        <v>13</v>
      </c>
      <c r="J11" s="9" t="s">
        <v>16</v>
      </c>
    </row>
    <row r="12" spans="1:11" ht="17.25" x14ac:dyDescent="0.25">
      <c r="B12" s="10" t="s">
        <v>4</v>
      </c>
      <c r="C12" s="10" t="s">
        <v>5</v>
      </c>
      <c r="D12" s="10" t="s">
        <v>6</v>
      </c>
      <c r="E12" s="10" t="s">
        <v>7</v>
      </c>
      <c r="F12" s="10" t="s">
        <v>9</v>
      </c>
      <c r="G12" s="10" t="s">
        <v>11</v>
      </c>
      <c r="H12" s="10" t="s">
        <v>12</v>
      </c>
      <c r="I12" s="10" t="s">
        <v>15</v>
      </c>
      <c r="J12" s="10" t="s">
        <v>14</v>
      </c>
    </row>
    <row r="14" spans="1:11" x14ac:dyDescent="0.25">
      <c r="B14" s="4" t="s">
        <v>284</v>
      </c>
      <c r="C14" s="4" t="s">
        <v>1</v>
      </c>
      <c r="D14" s="47">
        <f>'Beta Comps'!F8</f>
        <v>303.43</v>
      </c>
      <c r="E14" s="47">
        <f>'Beta Comps'!E8</f>
        <v>614998.63</v>
      </c>
      <c r="F14" s="5">
        <v>0.3</v>
      </c>
      <c r="G14" s="12">
        <f>D14/E14</f>
        <v>4.9338321290244179E-4</v>
      </c>
      <c r="H14" s="12">
        <f>D14/(D14+E14)</f>
        <v>4.9313990595123305E-4</v>
      </c>
      <c r="I14" s="184">
        <f>Levered_Raw_Beta</f>
        <v>0.61703381945780167</v>
      </c>
      <c r="J14" s="14">
        <f>I14/(1+(1-F14)*G14)</f>
        <v>0.61682078914188931</v>
      </c>
    </row>
    <row r="15" spans="1:11" x14ac:dyDescent="0.25">
      <c r="B15" s="4" t="s">
        <v>285</v>
      </c>
      <c r="C15" s="4" t="s">
        <v>1</v>
      </c>
      <c r="D15" s="47">
        <f>'Beta Comps'!F9</f>
        <v>345.39</v>
      </c>
      <c r="E15" s="47">
        <f>'Beta Comps'!E9</f>
        <v>36850.69</v>
      </c>
      <c r="F15" s="5">
        <v>0.3</v>
      </c>
      <c r="G15" s="12">
        <f>D15/E15</f>
        <v>9.3726874584980618E-3</v>
      </c>
      <c r="H15" s="12">
        <f>D15/(D15+E15)</f>
        <v>9.2856559078268452E-3</v>
      </c>
      <c r="I15" s="184">
        <f>'Beta Regression '!J121</f>
        <v>0.96150882447266273</v>
      </c>
      <c r="J15" s="14">
        <f>I15/(1+(1-F15)*G15)</f>
        <v>0.95524159781210838</v>
      </c>
    </row>
    <row r="16" spans="1:11" x14ac:dyDescent="0.25">
      <c r="B16" s="4" t="s">
        <v>286</v>
      </c>
      <c r="C16" s="4" t="s">
        <v>1</v>
      </c>
      <c r="D16" s="47">
        <f>'Beta Comps'!F10</f>
        <v>0</v>
      </c>
      <c r="E16" s="47">
        <f>'Beta Comps'!E10</f>
        <v>6213.52</v>
      </c>
      <c r="F16" s="5">
        <v>0.3</v>
      </c>
      <c r="G16" s="12">
        <f>D16/E16</f>
        <v>0</v>
      </c>
      <c r="H16" s="12">
        <f>D16/(D16+E16)</f>
        <v>0</v>
      </c>
      <c r="I16" s="184">
        <f>'Beta Regression '!J231</f>
        <v>0.2169388208348059</v>
      </c>
      <c r="J16" s="14">
        <f>I16/(1+(1-F16)*G16)</f>
        <v>0.2169388208348059</v>
      </c>
    </row>
    <row r="18" spans="2:17" x14ac:dyDescent="0.25">
      <c r="E18" s="8" t="s">
        <v>17</v>
      </c>
      <c r="F18" s="15">
        <f>AVERAGE(F14:F16)</f>
        <v>0.3</v>
      </c>
      <c r="G18" s="15">
        <f>AVERAGE(G14:G16)</f>
        <v>3.288690223800168E-3</v>
      </c>
      <c r="H18" s="15">
        <f>AVERAGE(H14:H16)</f>
        <v>3.2595986045926926E-3</v>
      </c>
      <c r="I18" s="17">
        <f>AVERAGE(I14:I16)</f>
        <v>0.59849382158842346</v>
      </c>
      <c r="J18" s="17">
        <f>AVERAGE(J14:J16)</f>
        <v>0.59633373592960115</v>
      </c>
    </row>
    <row r="19" spans="2:17" x14ac:dyDescent="0.25">
      <c r="E19" s="10" t="s">
        <v>18</v>
      </c>
      <c r="F19" s="16">
        <f>MEDIAN(F14:F16)</f>
        <v>0.3</v>
      </c>
      <c r="G19" s="16">
        <f>MEDIAN(G14:G16)</f>
        <v>4.9338321290244179E-4</v>
      </c>
      <c r="H19" s="16">
        <f>MEDIAN(H14:H16)</f>
        <v>4.9313990595123305E-4</v>
      </c>
      <c r="I19" s="18">
        <f>MEDIAN(I14:I16)</f>
        <v>0.61703381945780167</v>
      </c>
      <c r="J19" s="18">
        <f>MEDIAN(J14:J16)</f>
        <v>0.61682078914188931</v>
      </c>
    </row>
    <row r="22" spans="2:17" x14ac:dyDescent="0.25">
      <c r="B22" s="22" t="s">
        <v>19</v>
      </c>
      <c r="C22" s="22"/>
      <c r="D22" s="10"/>
      <c r="E22" s="10"/>
      <c r="G22" s="22" t="s">
        <v>25</v>
      </c>
      <c r="H22" s="10"/>
      <c r="I22" s="10"/>
      <c r="J22" s="10"/>
      <c r="K22" s="30"/>
      <c r="Q22" s="6"/>
    </row>
    <row r="23" spans="2:17" x14ac:dyDescent="0.25">
      <c r="J23" s="20"/>
      <c r="Q23" s="6"/>
    </row>
    <row r="24" spans="2:17" x14ac:dyDescent="0.25">
      <c r="B24" t="s">
        <v>20</v>
      </c>
      <c r="E24" s="48">
        <f>60/D14</f>
        <v>0.19773918201891705</v>
      </c>
      <c r="G24" t="s">
        <v>22</v>
      </c>
      <c r="J24" s="26">
        <v>6.8809999999999996E-2</v>
      </c>
      <c r="Q24" s="6"/>
    </row>
    <row r="25" spans="2:17" x14ac:dyDescent="0.25">
      <c r="B25" t="s">
        <v>8</v>
      </c>
      <c r="E25" s="48">
        <f>F19</f>
        <v>0.3</v>
      </c>
      <c r="G25" t="s">
        <v>23</v>
      </c>
      <c r="J25" s="48">
        <f>Rm!F11-WACC!J24</f>
        <v>8.728166666666666E-2</v>
      </c>
      <c r="Q25" s="6"/>
    </row>
    <row r="26" spans="2:17" ht="17.25" x14ac:dyDescent="0.25">
      <c r="B26" s="19" t="s">
        <v>21</v>
      </c>
      <c r="C26" s="19"/>
      <c r="D26" s="19"/>
      <c r="E26" s="27">
        <f>E24*(1-E25)</f>
        <v>0.13841742741324192</v>
      </c>
      <c r="G26" t="s">
        <v>24</v>
      </c>
      <c r="J26" s="13">
        <f>J34</f>
        <v>0.61703381945780167</v>
      </c>
      <c r="Q26" s="6"/>
    </row>
    <row r="27" spans="2:17" x14ac:dyDescent="0.25">
      <c r="G27" s="19" t="s">
        <v>25</v>
      </c>
      <c r="H27" s="19"/>
      <c r="I27" s="19"/>
      <c r="J27" s="48">
        <f>J24+J25*J26</f>
        <v>0.12266574015197601</v>
      </c>
      <c r="K27" s="30"/>
      <c r="Q27" s="6"/>
    </row>
    <row r="28" spans="2:17" x14ac:dyDescent="0.25">
      <c r="Q28" s="6"/>
    </row>
    <row r="29" spans="2:17" x14ac:dyDescent="0.25">
      <c r="B29" s="22" t="s">
        <v>26</v>
      </c>
      <c r="C29" s="22"/>
      <c r="D29" s="10"/>
      <c r="E29" s="10"/>
      <c r="G29" s="22" t="s">
        <v>13</v>
      </c>
      <c r="H29" s="22"/>
      <c r="I29" s="10"/>
      <c r="J29" s="10"/>
      <c r="K29" s="6"/>
    </row>
    <row r="30" spans="2:17" x14ac:dyDescent="0.25">
      <c r="K30" s="6"/>
    </row>
    <row r="31" spans="2:17" x14ac:dyDescent="0.25">
      <c r="D31" s="23" t="s">
        <v>28</v>
      </c>
      <c r="E31" s="23" t="s">
        <v>27</v>
      </c>
      <c r="G31" t="s">
        <v>32</v>
      </c>
      <c r="J31" s="13">
        <f>J19</f>
        <v>0.61682078914188931</v>
      </c>
      <c r="K31" s="6"/>
    </row>
    <row r="32" spans="2:17" x14ac:dyDescent="0.25">
      <c r="B32" t="s">
        <v>29</v>
      </c>
      <c r="C32" s="47">
        <f>D14</f>
        <v>303.43</v>
      </c>
      <c r="D32" s="11">
        <f>C32/$C$34</f>
        <v>4.9313990595123305E-4</v>
      </c>
      <c r="E32" s="48">
        <f>H19</f>
        <v>4.9313990595123305E-4</v>
      </c>
      <c r="G32" t="s">
        <v>33</v>
      </c>
      <c r="J32" s="20">
        <f>E36</f>
        <v>4.9338321290244168E-4</v>
      </c>
      <c r="K32" s="6"/>
    </row>
    <row r="33" spans="2:11" x14ac:dyDescent="0.25">
      <c r="B33" t="s">
        <v>30</v>
      </c>
      <c r="C33" s="47">
        <f>E14</f>
        <v>614998.63</v>
      </c>
      <c r="D33" s="11">
        <f>C33/$C$34</f>
        <v>0.99950686009404865</v>
      </c>
      <c r="E33" s="20">
        <f>E34-E32</f>
        <v>0.99950686009404877</v>
      </c>
      <c r="G33" t="s">
        <v>8</v>
      </c>
      <c r="J33" s="20">
        <f>E25</f>
        <v>0.3</v>
      </c>
      <c r="K33" s="6"/>
    </row>
    <row r="34" spans="2:11" x14ac:dyDescent="0.25">
      <c r="B34" t="s">
        <v>31</v>
      </c>
      <c r="C34" s="33">
        <f>SUM(C32:C33)</f>
        <v>615302.06000000006</v>
      </c>
      <c r="D34" s="21">
        <f>C34/$C$34</f>
        <v>1</v>
      </c>
      <c r="E34" s="28">
        <f>D34</f>
        <v>1</v>
      </c>
      <c r="G34" s="19" t="s">
        <v>34</v>
      </c>
      <c r="H34" s="19"/>
      <c r="I34" s="19"/>
      <c r="J34" s="31">
        <f>J31*(1+(1-J33)*J32)</f>
        <v>0.61703381945780167</v>
      </c>
      <c r="K34" s="6"/>
    </row>
    <row r="35" spans="2:11" x14ac:dyDescent="0.25">
      <c r="K35" s="6"/>
    </row>
    <row r="36" spans="2:11" x14ac:dyDescent="0.25">
      <c r="B36" t="s">
        <v>35</v>
      </c>
      <c r="D36" s="29">
        <f>D32/D33</f>
        <v>4.9338321290244179E-4</v>
      </c>
      <c r="E36" s="29">
        <f>E32/E33</f>
        <v>4.9338321290244168E-4</v>
      </c>
      <c r="G36" s="22" t="s">
        <v>0</v>
      </c>
      <c r="H36" s="22"/>
      <c r="I36" s="10"/>
      <c r="J36" s="10"/>
      <c r="K36" s="6"/>
    </row>
    <row r="37" spans="2:11" x14ac:dyDescent="0.25">
      <c r="K37" s="6"/>
    </row>
    <row r="38" spans="2:11" x14ac:dyDescent="0.25">
      <c r="B38" s="24" t="s">
        <v>36</v>
      </c>
      <c r="G38" t="s">
        <v>25</v>
      </c>
      <c r="I38" s="55"/>
      <c r="J38" s="59">
        <f>J27</f>
        <v>0.12266574015197601</v>
      </c>
      <c r="K38" s="6"/>
    </row>
    <row r="39" spans="2:11" x14ac:dyDescent="0.25">
      <c r="B39" s="25" t="s">
        <v>37</v>
      </c>
      <c r="G39" t="s">
        <v>91</v>
      </c>
      <c r="I39" s="20"/>
      <c r="J39" s="20">
        <f>E33</f>
        <v>0.99950686009404877</v>
      </c>
      <c r="K39" s="6"/>
    </row>
    <row r="40" spans="2:11" x14ac:dyDescent="0.25">
      <c r="B40" s="25" t="s">
        <v>38</v>
      </c>
      <c r="G40" s="30"/>
      <c r="H40" s="30"/>
      <c r="I40" s="57"/>
      <c r="J40" s="57"/>
      <c r="K40" s="6"/>
    </row>
    <row r="41" spans="2:11" x14ac:dyDescent="0.25">
      <c r="B41" s="25" t="s">
        <v>39</v>
      </c>
      <c r="G41" s="58" t="s">
        <v>19</v>
      </c>
      <c r="H41" s="30"/>
      <c r="I41" s="30"/>
      <c r="J41" s="56">
        <f>E26</f>
        <v>0.13841742741324192</v>
      </c>
      <c r="K41" s="6"/>
    </row>
    <row r="42" spans="2:11" x14ac:dyDescent="0.25">
      <c r="G42" s="58" t="s">
        <v>92</v>
      </c>
      <c r="J42" s="20">
        <f>E32</f>
        <v>4.9313990595123305E-4</v>
      </c>
    </row>
    <row r="44" spans="2:11" x14ac:dyDescent="0.25">
      <c r="G44" s="60" t="s">
        <v>93</v>
      </c>
      <c r="H44" s="60"/>
      <c r="I44" s="60"/>
      <c r="J44" s="171">
        <f>(J38*J39)+(J41+J42)</f>
        <v>0.26151581609960717</v>
      </c>
    </row>
  </sheetData>
  <pageMargins left="0.7" right="0.7" top="0.75" bottom="0.75" header="0.3" footer="0.3"/>
  <pageSetup orientation="portrait" r:id="rId1"/>
  <customProperties>
    <customPr name="Guid" r:id="rId2"/>
  </customPropertie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69"/>
  <sheetViews>
    <sheetView showGridLines="0" tabSelected="1" workbookViewId="0">
      <selection activeCell="I20" sqref="I20"/>
    </sheetView>
  </sheetViews>
  <sheetFormatPr defaultRowHeight="15" x14ac:dyDescent="0.25"/>
  <cols>
    <col min="1" max="1" width="1.85546875" customWidth="1"/>
    <col min="2" max="2" width="13.7109375" customWidth="1"/>
    <col min="3" max="3" width="12.28515625" bestFit="1" customWidth="1"/>
    <col min="4" max="4" width="11.140625" bestFit="1" customWidth="1"/>
    <col min="9" max="9" width="16.85546875" bestFit="1" customWidth="1"/>
    <col min="10" max="10" width="14.28515625" customWidth="1"/>
    <col min="11" max="11" width="12" bestFit="1" customWidth="1"/>
    <col min="12" max="12" width="14.5703125" bestFit="1" customWidth="1"/>
    <col min="13" max="13" width="20.42578125" bestFit="1" customWidth="1"/>
    <col min="14" max="14" width="12.7109375" bestFit="1" customWidth="1"/>
    <col min="15" max="15" width="14.5703125" bestFit="1" customWidth="1"/>
    <col min="16" max="16" width="12.7109375" bestFit="1" customWidth="1"/>
    <col min="17" max="17" width="12" bestFit="1" customWidth="1"/>
    <col min="18" max="18" width="13.42578125" bestFit="1" customWidth="1"/>
    <col min="19" max="19" width="12" bestFit="1" customWidth="1"/>
    <col min="20" max="20" width="12.7109375" bestFit="1" customWidth="1"/>
    <col min="21" max="21" width="12.5703125" bestFit="1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6"/>
      <c r="M1" s="6"/>
      <c r="N1" s="6"/>
      <c r="O1" s="6"/>
      <c r="P1" s="6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6"/>
      <c r="M2" s="6"/>
      <c r="N2" s="6"/>
      <c r="O2" s="6"/>
      <c r="P2" s="6"/>
    </row>
    <row r="3" spans="1:1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6"/>
      <c r="M3" s="6"/>
      <c r="N3" s="6"/>
      <c r="O3" s="6"/>
      <c r="P3" s="6"/>
    </row>
    <row r="4" spans="1:16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6"/>
      <c r="M4" s="6"/>
      <c r="N4" s="6"/>
      <c r="O4" s="6"/>
      <c r="P4" s="6"/>
    </row>
    <row r="6" spans="1:16" x14ac:dyDescent="0.25">
      <c r="A6" s="61" t="s">
        <v>94</v>
      </c>
      <c r="B6" s="37" t="s">
        <v>325</v>
      </c>
    </row>
    <row r="8" spans="1:16" x14ac:dyDescent="0.25">
      <c r="B8" s="185" t="s">
        <v>326</v>
      </c>
      <c r="C8" s="185"/>
      <c r="D8" s="185"/>
      <c r="F8" s="185" t="s">
        <v>43</v>
      </c>
      <c r="G8" s="185"/>
      <c r="I8" s="185" t="s">
        <v>72</v>
      </c>
      <c r="J8" s="185"/>
    </row>
    <row r="10" spans="1:16" x14ac:dyDescent="0.25">
      <c r="B10" s="34" t="s">
        <v>40</v>
      </c>
      <c r="C10" s="35" t="s">
        <v>41</v>
      </c>
      <c r="D10" s="35" t="s">
        <v>42</v>
      </c>
      <c r="F10" s="35" t="s">
        <v>41</v>
      </c>
      <c r="G10" s="35" t="s">
        <v>42</v>
      </c>
      <c r="I10" s="42" t="s">
        <v>73</v>
      </c>
      <c r="J10" s="13">
        <f>M13</f>
        <v>0.61703381945780167</v>
      </c>
      <c r="L10" t="s">
        <v>44</v>
      </c>
      <c r="M10" s="13">
        <f>SLOPE(D12:D114,G12:G114)</f>
        <v>0.62040474080177832</v>
      </c>
    </row>
    <row r="11" spans="1:16" x14ac:dyDescent="0.25">
      <c r="B11" s="36">
        <v>44850</v>
      </c>
      <c r="C11" s="45">
        <v>343.48</v>
      </c>
      <c r="F11" s="45">
        <v>17576.3</v>
      </c>
      <c r="I11" t="s">
        <v>74</v>
      </c>
      <c r="J11" s="20">
        <v>0.75</v>
      </c>
      <c r="L11" t="s">
        <v>45</v>
      </c>
      <c r="M11" s="13">
        <f>_xlfn.COVARIANCE.S(D11:D114,G11:G114)/_xlfn.VAR.S(G11:G114)</f>
        <v>0.62040474080177799</v>
      </c>
    </row>
    <row r="12" spans="1:16" x14ac:dyDescent="0.25">
      <c r="B12" s="36">
        <v>44857</v>
      </c>
      <c r="C12" s="45">
        <v>343.68</v>
      </c>
      <c r="D12" s="11">
        <f>C12/C11-1</f>
        <v>5.8227553278200617E-4</v>
      </c>
      <c r="F12" s="45">
        <v>17786.8</v>
      </c>
      <c r="G12" s="11">
        <f>F12/F11-1</f>
        <v>1.1976354522851729E-2</v>
      </c>
    </row>
    <row r="13" spans="1:16" x14ac:dyDescent="0.25">
      <c r="B13" s="36">
        <v>44864</v>
      </c>
      <c r="C13" s="45">
        <v>351.43</v>
      </c>
      <c r="D13" s="11">
        <f t="shared" ref="D13:D76" si="0">C13/C12-1</f>
        <v>2.2550046554934866E-2</v>
      </c>
      <c r="F13" s="45">
        <v>18117.150000000001</v>
      </c>
      <c r="G13" s="11">
        <f t="shared" ref="G13:G76" si="1">F13/F12-1</f>
        <v>1.8572761823374861E-2</v>
      </c>
      <c r="I13" t="s">
        <v>75</v>
      </c>
      <c r="J13">
        <v>1</v>
      </c>
      <c r="L13" t="s">
        <v>46</v>
      </c>
      <c r="M13" s="13">
        <f>J37</f>
        <v>0.61703381945780167</v>
      </c>
    </row>
    <row r="14" spans="1:16" x14ac:dyDescent="0.25">
      <c r="B14" s="36">
        <v>44871</v>
      </c>
      <c r="C14" s="45">
        <v>354.17</v>
      </c>
      <c r="D14" s="11">
        <f t="shared" si="0"/>
        <v>7.796716273511084E-3</v>
      </c>
      <c r="F14" s="45">
        <v>18349.7</v>
      </c>
      <c r="G14" s="11">
        <f t="shared" si="1"/>
        <v>1.2835904101914375E-2</v>
      </c>
      <c r="I14" t="s">
        <v>76</v>
      </c>
      <c r="J14" s="20">
        <v>0.25</v>
      </c>
    </row>
    <row r="15" spans="1:16" x14ac:dyDescent="0.25">
      <c r="B15" s="36">
        <v>44878</v>
      </c>
      <c r="C15" s="45">
        <v>338.96</v>
      </c>
      <c r="D15" s="11">
        <f t="shared" si="0"/>
        <v>-4.2945478160205663E-2</v>
      </c>
      <c r="F15" s="45">
        <v>18307.650000000001</v>
      </c>
      <c r="G15" s="11">
        <f t="shared" si="1"/>
        <v>-2.2915905982113793E-3</v>
      </c>
    </row>
    <row r="16" spans="1:16" x14ac:dyDescent="0.25">
      <c r="B16" s="36">
        <v>44885</v>
      </c>
      <c r="C16" s="45">
        <v>338.22</v>
      </c>
      <c r="D16" s="11">
        <f t="shared" si="0"/>
        <v>-2.1831484540947299E-3</v>
      </c>
      <c r="F16" s="45">
        <v>18512.75</v>
      </c>
      <c r="G16" s="11">
        <f t="shared" si="1"/>
        <v>1.1202967065680136E-2</v>
      </c>
      <c r="I16" s="43" t="s">
        <v>77</v>
      </c>
      <c r="J16" s="44">
        <f>(Levered_Raw_Beta*Raw_Beta_Weight)+(Market_Beta*Market_Beta_Weight)</f>
        <v>0.71277536459335122</v>
      </c>
    </row>
    <row r="17" spans="2:14" x14ac:dyDescent="0.25">
      <c r="B17" s="36">
        <v>44892</v>
      </c>
      <c r="C17" s="45">
        <v>335.09</v>
      </c>
      <c r="D17" s="11">
        <f t="shared" si="0"/>
        <v>-9.254331500207158E-3</v>
      </c>
      <c r="F17" s="45">
        <v>18696.099999999999</v>
      </c>
      <c r="G17" s="11">
        <f t="shared" si="1"/>
        <v>9.9039850913558158E-3</v>
      </c>
    </row>
    <row r="18" spans="2:14" x14ac:dyDescent="0.25">
      <c r="B18" s="36">
        <v>44899</v>
      </c>
      <c r="C18" s="45">
        <v>339.31</v>
      </c>
      <c r="D18" s="11">
        <f t="shared" si="0"/>
        <v>1.2593631561670149E-2</v>
      </c>
      <c r="F18" s="45">
        <v>18496.599999999999</v>
      </c>
      <c r="G18" s="11">
        <f t="shared" si="1"/>
        <v>-1.0670674632677457E-2</v>
      </c>
    </row>
    <row r="19" spans="2:14" x14ac:dyDescent="0.25">
      <c r="B19" s="36">
        <v>44906</v>
      </c>
      <c r="C19" s="45">
        <v>333.05</v>
      </c>
      <c r="D19" s="11">
        <f t="shared" si="0"/>
        <v>-1.844920574106268E-2</v>
      </c>
      <c r="F19" s="45">
        <v>18269</v>
      </c>
      <c r="G19" s="11">
        <f t="shared" si="1"/>
        <v>-1.2304964155574472E-2</v>
      </c>
    </row>
    <row r="20" spans="2:14" x14ac:dyDescent="0.25">
      <c r="B20" s="36">
        <v>44913</v>
      </c>
      <c r="C20" s="45">
        <v>324.7</v>
      </c>
      <c r="D20" s="11">
        <f t="shared" si="0"/>
        <v>-2.5071310614022013E-2</v>
      </c>
      <c r="F20" s="45">
        <v>17806.8</v>
      </c>
      <c r="G20" s="11">
        <f t="shared" si="1"/>
        <v>-2.5299687996058973E-2</v>
      </c>
      <c r="I20" t="s">
        <v>47</v>
      </c>
    </row>
    <row r="21" spans="2:14" ht="15.75" thickBot="1" x14ac:dyDescent="0.3">
      <c r="B21" s="36">
        <v>44920</v>
      </c>
      <c r="C21" s="45">
        <v>329.52</v>
      </c>
      <c r="D21" s="11">
        <f t="shared" si="0"/>
        <v>1.4844471820141703E-2</v>
      </c>
      <c r="F21" s="45">
        <v>18105.3</v>
      </c>
      <c r="G21" s="11">
        <f t="shared" si="1"/>
        <v>1.6763258979715534E-2</v>
      </c>
    </row>
    <row r="22" spans="2:14" x14ac:dyDescent="0.25">
      <c r="B22" s="36">
        <v>44927</v>
      </c>
      <c r="C22" s="45">
        <v>333</v>
      </c>
      <c r="D22" s="11">
        <f t="shared" si="0"/>
        <v>1.0560815731973872E-2</v>
      </c>
      <c r="F22" s="45">
        <v>17859.45</v>
      </c>
      <c r="G22" s="11">
        <f t="shared" si="1"/>
        <v>-1.3578896787128536E-2</v>
      </c>
      <c r="I22" s="41" t="s">
        <v>48</v>
      </c>
      <c r="J22" s="41"/>
    </row>
    <row r="23" spans="2:14" x14ac:dyDescent="0.25">
      <c r="B23" s="36">
        <v>44934</v>
      </c>
      <c r="C23" s="45">
        <v>326.74</v>
      </c>
      <c r="D23" s="11">
        <f t="shared" si="0"/>
        <v>-1.8798798798798755E-2</v>
      </c>
      <c r="F23" s="45">
        <v>17956.599999999999</v>
      </c>
      <c r="G23" s="11">
        <f t="shared" si="1"/>
        <v>5.4396971911228054E-3</v>
      </c>
      <c r="I23" s="38" t="s">
        <v>49</v>
      </c>
      <c r="J23" s="38">
        <v>0.37292514629997753</v>
      </c>
    </row>
    <row r="24" spans="2:14" x14ac:dyDescent="0.25">
      <c r="B24" s="36">
        <v>44941</v>
      </c>
      <c r="C24" s="45">
        <v>332.55</v>
      </c>
      <c r="D24" s="11">
        <f t="shared" si="0"/>
        <v>1.7781722470465722E-2</v>
      </c>
      <c r="F24" s="45">
        <v>18027.650000000001</v>
      </c>
      <c r="G24" s="11">
        <f t="shared" si="1"/>
        <v>3.9567624160476988E-3</v>
      </c>
      <c r="I24" s="38" t="s">
        <v>50</v>
      </c>
      <c r="J24" s="38">
        <v>0.13907316474285966</v>
      </c>
    </row>
    <row r="25" spans="2:14" x14ac:dyDescent="0.25">
      <c r="B25" s="36">
        <v>44948</v>
      </c>
      <c r="C25" s="45">
        <v>343.88</v>
      </c>
      <c r="D25" s="11">
        <f t="shared" si="0"/>
        <v>3.4070064651932075E-2</v>
      </c>
      <c r="F25" s="45">
        <v>17604.349999999999</v>
      </c>
      <c r="G25" s="11">
        <f t="shared" si="1"/>
        <v>-2.3480597859399488E-2</v>
      </c>
      <c r="I25" s="38" t="s">
        <v>51</v>
      </c>
      <c r="J25" s="38">
        <v>0.13063270557367201</v>
      </c>
    </row>
    <row r="26" spans="2:14" x14ac:dyDescent="0.25">
      <c r="B26" s="36">
        <v>44955</v>
      </c>
      <c r="C26" s="45">
        <v>378.32</v>
      </c>
      <c r="D26" s="11">
        <f t="shared" si="0"/>
        <v>0.10015121554030482</v>
      </c>
      <c r="F26" s="45">
        <v>17854.05</v>
      </c>
      <c r="G26" s="11">
        <f t="shared" si="1"/>
        <v>1.4183994296864233E-2</v>
      </c>
      <c r="I26" s="38" t="s">
        <v>52</v>
      </c>
      <c r="J26" s="38">
        <v>2.2470092722807665E-2</v>
      </c>
    </row>
    <row r="27" spans="2:14" ht="15.75" thickBot="1" x14ac:dyDescent="0.3">
      <c r="B27" s="36">
        <v>44962</v>
      </c>
      <c r="C27" s="45">
        <v>369.08</v>
      </c>
      <c r="D27" s="11">
        <f t="shared" si="0"/>
        <v>-2.442376823852821E-2</v>
      </c>
      <c r="F27" s="45">
        <v>17856.5</v>
      </c>
      <c r="G27" s="11">
        <f t="shared" si="1"/>
        <v>1.372237671564136E-4</v>
      </c>
      <c r="I27" s="39" t="s">
        <v>53</v>
      </c>
      <c r="J27" s="39">
        <v>104</v>
      </c>
    </row>
    <row r="28" spans="2:14" x14ac:dyDescent="0.25">
      <c r="B28" s="36">
        <v>44969</v>
      </c>
      <c r="C28" s="45">
        <v>381.05</v>
      </c>
      <c r="D28" s="11">
        <f t="shared" si="0"/>
        <v>3.2431993063834375E-2</v>
      </c>
      <c r="F28" s="45">
        <v>17944.2</v>
      </c>
      <c r="G28" s="11">
        <f t="shared" si="1"/>
        <v>4.9113768095652155E-3</v>
      </c>
    </row>
    <row r="29" spans="2:14" ht="15.75" thickBot="1" x14ac:dyDescent="0.3">
      <c r="B29" s="36">
        <v>44976</v>
      </c>
      <c r="C29" s="45">
        <v>382.74</v>
      </c>
      <c r="D29" s="11">
        <f t="shared" si="0"/>
        <v>4.4351135021649668E-3</v>
      </c>
      <c r="F29" s="45">
        <v>17465.8</v>
      </c>
      <c r="G29" s="11">
        <f t="shared" si="1"/>
        <v>-2.6660425095574092E-2</v>
      </c>
      <c r="I29" t="s">
        <v>54</v>
      </c>
    </row>
    <row r="30" spans="2:14" x14ac:dyDescent="0.25">
      <c r="B30" s="36">
        <v>44983</v>
      </c>
      <c r="C30" s="45">
        <v>382.59</v>
      </c>
      <c r="D30" s="11">
        <f t="shared" si="0"/>
        <v>-3.919109578304214E-4</v>
      </c>
      <c r="F30" s="45">
        <v>17594.349999999999</v>
      </c>
      <c r="G30" s="11">
        <f t="shared" si="1"/>
        <v>7.360098020130712E-3</v>
      </c>
      <c r="I30" s="40"/>
      <c r="J30" s="40" t="s">
        <v>59</v>
      </c>
      <c r="K30" s="40" t="s">
        <v>60</v>
      </c>
      <c r="L30" s="40" t="s">
        <v>61</v>
      </c>
      <c r="M30" s="40" t="s">
        <v>62</v>
      </c>
      <c r="N30" s="40" t="s">
        <v>63</v>
      </c>
    </row>
    <row r="31" spans="2:14" x14ac:dyDescent="0.25">
      <c r="B31" s="36">
        <v>44990</v>
      </c>
      <c r="C31" s="45">
        <v>385.62</v>
      </c>
      <c r="D31" s="11">
        <f t="shared" si="0"/>
        <v>7.9197051674115837E-3</v>
      </c>
      <c r="F31" s="45">
        <v>17412.900000000001</v>
      </c>
      <c r="G31" s="11">
        <f t="shared" si="1"/>
        <v>-1.0312969788596749E-2</v>
      </c>
      <c r="I31" s="38" t="s">
        <v>55</v>
      </c>
      <c r="J31" s="38">
        <v>1</v>
      </c>
      <c r="K31" s="38">
        <v>8.319303979904269E-3</v>
      </c>
      <c r="L31" s="38">
        <v>8.319303979904269E-3</v>
      </c>
      <c r="M31" s="38">
        <v>16.476966709412412</v>
      </c>
      <c r="N31" s="38">
        <v>9.6687417377859872E-5</v>
      </c>
    </row>
    <row r="32" spans="2:14" x14ac:dyDescent="0.25">
      <c r="B32" s="36">
        <v>44997</v>
      </c>
      <c r="C32" s="45">
        <v>373.25</v>
      </c>
      <c r="D32" s="11">
        <f t="shared" si="0"/>
        <v>-3.2078211711010884E-2</v>
      </c>
      <c r="F32" s="45">
        <v>17100.05</v>
      </c>
      <c r="G32" s="11">
        <f t="shared" si="1"/>
        <v>-1.796656501788918E-2</v>
      </c>
      <c r="I32" s="38" t="s">
        <v>56</v>
      </c>
      <c r="J32" s="38">
        <v>102</v>
      </c>
      <c r="K32" s="38">
        <v>5.1500316831100547E-2</v>
      </c>
      <c r="L32" s="38">
        <v>5.0490506697157395E-4</v>
      </c>
      <c r="M32" s="38"/>
      <c r="N32" s="38"/>
    </row>
    <row r="33" spans="2:17" ht="15.75" thickBot="1" x14ac:dyDescent="0.3">
      <c r="B33" s="36">
        <v>45004</v>
      </c>
      <c r="C33" s="45">
        <v>376.38</v>
      </c>
      <c r="D33" s="11">
        <f t="shared" si="0"/>
        <v>8.3858004018753096E-3</v>
      </c>
      <c r="F33" s="45">
        <v>16945.05</v>
      </c>
      <c r="G33" s="11">
        <f t="shared" si="1"/>
        <v>-9.0643009815760678E-3</v>
      </c>
      <c r="I33" s="39" t="s">
        <v>57</v>
      </c>
      <c r="J33" s="39">
        <v>103</v>
      </c>
      <c r="K33" s="39">
        <v>5.9819620811004816E-2</v>
      </c>
      <c r="L33" s="39"/>
      <c r="M33" s="39"/>
      <c r="N33" s="39"/>
    </row>
    <row r="34" spans="2:17" ht="15.75" thickBot="1" x14ac:dyDescent="0.3">
      <c r="B34" s="36">
        <v>45011</v>
      </c>
      <c r="C34" s="45">
        <v>381.15</v>
      </c>
      <c r="D34" s="11">
        <f t="shared" si="0"/>
        <v>1.2673362027737944E-2</v>
      </c>
      <c r="F34" s="45">
        <v>17359.75</v>
      </c>
      <c r="G34" s="11">
        <f t="shared" si="1"/>
        <v>2.4473223743807226E-2</v>
      </c>
    </row>
    <row r="35" spans="2:17" x14ac:dyDescent="0.25">
      <c r="B35" s="36">
        <v>45018</v>
      </c>
      <c r="C35" s="45">
        <v>384.98</v>
      </c>
      <c r="D35" s="11">
        <f t="shared" si="0"/>
        <v>1.004853732126465E-2</v>
      </c>
      <c r="F35" s="45">
        <v>17599.150000000001</v>
      </c>
      <c r="G35" s="11">
        <f t="shared" si="1"/>
        <v>1.3790521176860304E-2</v>
      </c>
      <c r="I35" s="40"/>
      <c r="J35" s="40" t="s">
        <v>64</v>
      </c>
      <c r="K35" s="40" t="s">
        <v>52</v>
      </c>
      <c r="L35" s="40" t="s">
        <v>65</v>
      </c>
      <c r="M35" s="40" t="s">
        <v>66</v>
      </c>
      <c r="N35" s="40" t="s">
        <v>67</v>
      </c>
      <c r="O35" s="40" t="s">
        <v>68</v>
      </c>
      <c r="P35" s="40" t="s">
        <v>69</v>
      </c>
      <c r="Q35" s="40" t="s">
        <v>70</v>
      </c>
    </row>
    <row r="36" spans="2:17" x14ac:dyDescent="0.25">
      <c r="B36" s="36">
        <v>45025</v>
      </c>
      <c r="C36" s="45">
        <v>393.18</v>
      </c>
      <c r="D36" s="11">
        <f t="shared" si="0"/>
        <v>2.1299807782222402E-2</v>
      </c>
      <c r="F36" s="45">
        <v>17828</v>
      </c>
      <c r="G36" s="11">
        <f t="shared" si="1"/>
        <v>1.3003468917532901E-2</v>
      </c>
      <c r="I36" s="38" t="s">
        <v>58</v>
      </c>
      <c r="J36" s="38">
        <v>1.5216217526829463E-3</v>
      </c>
      <c r="K36" s="38">
        <v>2.2701208775463152E-3</v>
      </c>
      <c r="L36" s="38">
        <v>0.67028226017973447</v>
      </c>
      <c r="M36" s="38">
        <v>0.50419263074328236</v>
      </c>
      <c r="N36" s="38">
        <v>-2.981152244294777E-3</v>
      </c>
      <c r="O36" s="38">
        <v>6.0243957496606696E-3</v>
      </c>
      <c r="P36" s="38">
        <v>-2.981152244294777E-3</v>
      </c>
      <c r="Q36" s="38">
        <v>6.0243957496606696E-3</v>
      </c>
    </row>
    <row r="37" spans="2:17" ht="15.75" thickBot="1" x14ac:dyDescent="0.3">
      <c r="B37" s="36">
        <v>45032</v>
      </c>
      <c r="C37" s="45">
        <v>405.75</v>
      </c>
      <c r="D37" s="11">
        <f t="shared" si="0"/>
        <v>3.197009003509832E-2</v>
      </c>
      <c r="F37" s="45">
        <v>17624.05</v>
      </c>
      <c r="G37" s="11">
        <f t="shared" si="1"/>
        <v>-1.143986986762402E-2</v>
      </c>
      <c r="I37" s="39" t="s">
        <v>71</v>
      </c>
      <c r="J37" s="39">
        <v>0.61703381945780167</v>
      </c>
      <c r="K37" s="39">
        <v>0.15200936196368992</v>
      </c>
      <c r="L37" s="39">
        <v>4.0591830100911217</v>
      </c>
      <c r="M37" s="39">
        <v>9.6687417377859872E-5</v>
      </c>
      <c r="N37" s="39">
        <v>0.31552397074565397</v>
      </c>
      <c r="O37" s="39">
        <v>0.91854366816994937</v>
      </c>
      <c r="P37" s="39">
        <v>0.31552397074565397</v>
      </c>
      <c r="Q37" s="39">
        <v>0.91854366816994937</v>
      </c>
    </row>
    <row r="38" spans="2:17" x14ac:dyDescent="0.25">
      <c r="B38" s="36">
        <v>45039</v>
      </c>
      <c r="C38" s="45">
        <v>422.94</v>
      </c>
      <c r="D38" s="11">
        <f t="shared" si="0"/>
        <v>4.2365988909426999E-2</v>
      </c>
      <c r="F38" s="45">
        <v>18065</v>
      </c>
      <c r="G38" s="11">
        <f t="shared" si="1"/>
        <v>2.5019788300645995E-2</v>
      </c>
    </row>
    <row r="39" spans="2:17" x14ac:dyDescent="0.25">
      <c r="B39" s="36">
        <v>45046</v>
      </c>
      <c r="C39" s="45">
        <v>426.13</v>
      </c>
      <c r="D39" s="11">
        <f t="shared" si="0"/>
        <v>7.5424410081808002E-3</v>
      </c>
      <c r="F39" s="45">
        <v>18069</v>
      </c>
      <c r="G39" s="11">
        <f t="shared" si="1"/>
        <v>2.2142264046509652E-4</v>
      </c>
    </row>
    <row r="40" spans="2:17" x14ac:dyDescent="0.25">
      <c r="B40" s="36">
        <v>45053</v>
      </c>
      <c r="C40" s="45">
        <v>417.88</v>
      </c>
      <c r="D40" s="11">
        <f t="shared" si="0"/>
        <v>-1.936028911365073E-2</v>
      </c>
      <c r="F40" s="45">
        <v>18314.8</v>
      </c>
      <c r="G40" s="11">
        <f t="shared" si="1"/>
        <v>1.3603409153799317E-2</v>
      </c>
    </row>
    <row r="41" spans="2:17" x14ac:dyDescent="0.25">
      <c r="B41" s="36">
        <v>45060</v>
      </c>
      <c r="C41" s="45">
        <v>417.28</v>
      </c>
      <c r="D41" s="11">
        <f t="shared" si="0"/>
        <v>-1.4358188953766948E-3</v>
      </c>
      <c r="F41" s="45">
        <v>18203.400000000001</v>
      </c>
      <c r="G41" s="11">
        <f t="shared" si="1"/>
        <v>-6.0825125035489647E-3</v>
      </c>
    </row>
    <row r="42" spans="2:17" x14ac:dyDescent="0.25">
      <c r="B42" s="36">
        <v>45067</v>
      </c>
      <c r="C42" s="45">
        <v>440.88</v>
      </c>
      <c r="D42" s="11">
        <f t="shared" si="0"/>
        <v>5.6556748466257689E-2</v>
      </c>
      <c r="F42" s="45">
        <v>18499.349999999999</v>
      </c>
      <c r="G42" s="11">
        <f t="shared" si="1"/>
        <v>1.6257951811200044E-2</v>
      </c>
    </row>
    <row r="43" spans="2:17" x14ac:dyDescent="0.25">
      <c r="B43" s="36">
        <v>45074</v>
      </c>
      <c r="C43" s="45">
        <v>443.4</v>
      </c>
      <c r="D43" s="11">
        <f t="shared" si="0"/>
        <v>5.7158410451823016E-3</v>
      </c>
      <c r="F43" s="45">
        <v>18534.099999999999</v>
      </c>
      <c r="G43" s="11">
        <f t="shared" si="1"/>
        <v>1.8784443777755122E-3</v>
      </c>
    </row>
    <row r="44" spans="2:17" x14ac:dyDescent="0.25">
      <c r="B44" s="36">
        <v>45081</v>
      </c>
      <c r="C44" s="45">
        <v>438.45</v>
      </c>
      <c r="D44" s="11">
        <f t="shared" si="0"/>
        <v>-1.1163734776725276E-2</v>
      </c>
      <c r="F44" s="45">
        <v>18563.400000000001</v>
      </c>
      <c r="G44" s="11">
        <f t="shared" si="1"/>
        <v>1.5808698561032841E-3</v>
      </c>
    </row>
    <row r="45" spans="2:17" x14ac:dyDescent="0.25">
      <c r="B45" s="36">
        <v>45088</v>
      </c>
      <c r="C45" s="45">
        <v>453.1</v>
      </c>
      <c r="D45" s="11">
        <f t="shared" si="0"/>
        <v>3.341315999543859E-2</v>
      </c>
      <c r="F45" s="45">
        <v>18826</v>
      </c>
      <c r="G45" s="11">
        <f t="shared" si="1"/>
        <v>1.4146115474535925E-2</v>
      </c>
    </row>
    <row r="46" spans="2:17" x14ac:dyDescent="0.25">
      <c r="B46" s="36">
        <v>45095</v>
      </c>
      <c r="C46" s="45">
        <v>444.75</v>
      </c>
      <c r="D46" s="11">
        <f t="shared" si="0"/>
        <v>-1.8428602957404561E-2</v>
      </c>
      <c r="F46" s="45">
        <v>18665.5</v>
      </c>
      <c r="G46" s="11">
        <f t="shared" si="1"/>
        <v>-8.5254435355359703E-3</v>
      </c>
    </row>
    <row r="47" spans="2:17" x14ac:dyDescent="0.25">
      <c r="B47" s="36">
        <v>45102</v>
      </c>
      <c r="C47" s="45">
        <v>451.6</v>
      </c>
      <c r="D47" s="11">
        <f t="shared" si="0"/>
        <v>1.5401911186059714E-2</v>
      </c>
      <c r="F47" s="45">
        <v>19189.05</v>
      </c>
      <c r="G47" s="11">
        <f t="shared" si="1"/>
        <v>2.8049074495727355E-2</v>
      </c>
    </row>
    <row r="48" spans="2:17" x14ac:dyDescent="0.25">
      <c r="B48" s="36">
        <v>45109</v>
      </c>
      <c r="C48" s="45">
        <v>468.4</v>
      </c>
      <c r="D48" s="11">
        <f t="shared" si="0"/>
        <v>3.7201062887511016E-2</v>
      </c>
      <c r="F48" s="45">
        <v>19331.8</v>
      </c>
      <c r="G48" s="11">
        <f t="shared" si="1"/>
        <v>7.4391384669902916E-3</v>
      </c>
    </row>
    <row r="49" spans="2:7" x14ac:dyDescent="0.25">
      <c r="B49" s="36">
        <v>45116</v>
      </c>
      <c r="C49" s="45">
        <v>472.9</v>
      </c>
      <c r="D49" s="11">
        <f t="shared" si="0"/>
        <v>9.6071733561058359E-3</v>
      </c>
      <c r="F49" s="45">
        <v>19564.5</v>
      </c>
      <c r="G49" s="11">
        <f t="shared" si="1"/>
        <v>1.2037161567986399E-2</v>
      </c>
    </row>
    <row r="50" spans="2:7" x14ac:dyDescent="0.25">
      <c r="B50" s="36">
        <v>45123</v>
      </c>
      <c r="C50" s="45">
        <v>490.45</v>
      </c>
      <c r="D50" s="11">
        <f t="shared" si="0"/>
        <v>3.7111440050750621E-2</v>
      </c>
      <c r="F50" s="45">
        <v>19745</v>
      </c>
      <c r="G50" s="11">
        <f t="shared" si="1"/>
        <v>9.225893838329613E-3</v>
      </c>
    </row>
    <row r="51" spans="2:7" x14ac:dyDescent="0.25">
      <c r="B51" s="36">
        <v>45130</v>
      </c>
      <c r="C51" s="45">
        <v>468.45</v>
      </c>
      <c r="D51" s="11">
        <f t="shared" si="0"/>
        <v>-4.485676419614637E-2</v>
      </c>
      <c r="F51" s="45">
        <v>19646.05</v>
      </c>
      <c r="G51" s="11">
        <f t="shared" si="1"/>
        <v>-5.0113952899468739E-3</v>
      </c>
    </row>
    <row r="52" spans="2:7" x14ac:dyDescent="0.25">
      <c r="B52" s="36">
        <v>45137</v>
      </c>
      <c r="C52" s="45">
        <v>454.95</v>
      </c>
      <c r="D52" s="11">
        <f t="shared" si="0"/>
        <v>-2.8818443804034533E-2</v>
      </c>
      <c r="F52" s="45">
        <v>19517</v>
      </c>
      <c r="G52" s="11">
        <f t="shared" si="1"/>
        <v>-6.568750461288575E-3</v>
      </c>
    </row>
    <row r="53" spans="2:7" x14ac:dyDescent="0.25">
      <c r="B53" s="36">
        <v>45144</v>
      </c>
      <c r="C53" s="45">
        <v>448.75</v>
      </c>
      <c r="D53" s="11">
        <f t="shared" si="0"/>
        <v>-1.3627871194636709E-2</v>
      </c>
      <c r="F53" s="45">
        <v>19428.3</v>
      </c>
      <c r="G53" s="11">
        <f t="shared" si="1"/>
        <v>-4.5447558538710409E-3</v>
      </c>
    </row>
    <row r="54" spans="2:7" x14ac:dyDescent="0.25">
      <c r="B54" s="36">
        <v>45151</v>
      </c>
      <c r="C54" s="45">
        <v>441.65</v>
      </c>
      <c r="D54" s="11">
        <f t="shared" si="0"/>
        <v>-1.5821727019498688E-2</v>
      </c>
      <c r="F54" s="45">
        <v>19310.150000000001</v>
      </c>
      <c r="G54" s="11">
        <f t="shared" si="1"/>
        <v>-6.0813349598265454E-3</v>
      </c>
    </row>
    <row r="55" spans="2:7" x14ac:dyDescent="0.25">
      <c r="B55" s="36">
        <v>45158</v>
      </c>
      <c r="C55" s="45">
        <v>443.35</v>
      </c>
      <c r="D55" s="11">
        <f t="shared" si="0"/>
        <v>3.8492018566740338E-3</v>
      </c>
      <c r="F55" s="45">
        <v>19265.8</v>
      </c>
      <c r="G55" s="11">
        <f t="shared" si="1"/>
        <v>-2.2967196008317758E-3</v>
      </c>
    </row>
    <row r="56" spans="2:7" x14ac:dyDescent="0.25">
      <c r="B56" s="36">
        <v>45165</v>
      </c>
      <c r="C56" s="45">
        <v>441.05</v>
      </c>
      <c r="D56" s="11">
        <f t="shared" si="0"/>
        <v>-5.1877748956806746E-3</v>
      </c>
      <c r="F56" s="45">
        <v>19435.3</v>
      </c>
      <c r="G56" s="11">
        <f t="shared" si="1"/>
        <v>8.7979736112697715E-3</v>
      </c>
    </row>
    <row r="57" spans="2:7" x14ac:dyDescent="0.25">
      <c r="B57" s="36">
        <v>45172</v>
      </c>
      <c r="C57" s="45">
        <v>442.65</v>
      </c>
      <c r="D57" s="11">
        <f t="shared" si="0"/>
        <v>3.6277066092278432E-3</v>
      </c>
      <c r="F57" s="45">
        <v>19819.95</v>
      </c>
      <c r="G57" s="11">
        <f t="shared" si="1"/>
        <v>1.9791307569216876E-2</v>
      </c>
    </row>
    <row r="58" spans="2:7" x14ac:dyDescent="0.25">
      <c r="B58" s="36">
        <v>45179</v>
      </c>
      <c r="C58" s="45">
        <v>448.35</v>
      </c>
      <c r="D58" s="11">
        <f t="shared" si="0"/>
        <v>1.2876990850559267E-2</v>
      </c>
      <c r="F58" s="45">
        <v>20192.349999999999</v>
      </c>
      <c r="G58" s="11">
        <f t="shared" si="1"/>
        <v>1.8789149316723597E-2</v>
      </c>
    </row>
    <row r="59" spans="2:7" x14ac:dyDescent="0.25">
      <c r="B59" s="36">
        <v>45186</v>
      </c>
      <c r="C59" s="45">
        <v>443.1</v>
      </c>
      <c r="D59" s="11">
        <f t="shared" si="0"/>
        <v>-1.1709601873536313E-2</v>
      </c>
      <c r="F59" s="45">
        <v>19674.25</v>
      </c>
      <c r="G59" s="11">
        <f t="shared" si="1"/>
        <v>-2.5658231954180599E-2</v>
      </c>
    </row>
    <row r="60" spans="2:7" x14ac:dyDescent="0.25">
      <c r="B60" s="36">
        <v>45193</v>
      </c>
      <c r="C60" s="45">
        <v>444.4</v>
      </c>
      <c r="D60" s="11">
        <f t="shared" si="0"/>
        <v>2.9338749717895407E-3</v>
      </c>
      <c r="F60" s="45">
        <v>19638.3</v>
      </c>
      <c r="G60" s="11">
        <f t="shared" si="1"/>
        <v>-1.8272615220402688E-3</v>
      </c>
    </row>
    <row r="61" spans="2:7" x14ac:dyDescent="0.25">
      <c r="B61" s="36">
        <v>45200</v>
      </c>
      <c r="C61" s="45">
        <v>442.15</v>
      </c>
      <c r="D61" s="11">
        <f t="shared" si="0"/>
        <v>-5.0630063006300574E-3</v>
      </c>
      <c r="F61" s="45">
        <v>19653.5</v>
      </c>
      <c r="G61" s="11">
        <f t="shared" si="1"/>
        <v>7.7399774929598486E-4</v>
      </c>
    </row>
    <row r="62" spans="2:7" x14ac:dyDescent="0.25">
      <c r="B62" s="36">
        <v>45207</v>
      </c>
      <c r="C62" s="45">
        <v>448.35</v>
      </c>
      <c r="D62" s="11">
        <f t="shared" si="0"/>
        <v>1.4022390591428291E-2</v>
      </c>
      <c r="F62" s="45">
        <v>19751.05</v>
      </c>
      <c r="G62" s="11">
        <f t="shared" si="1"/>
        <v>4.9634925076957881E-3</v>
      </c>
    </row>
    <row r="63" spans="2:7" x14ac:dyDescent="0.25">
      <c r="B63" s="36">
        <v>45214</v>
      </c>
      <c r="C63" s="45">
        <v>438.3</v>
      </c>
      <c r="D63" s="11">
        <f t="shared" si="0"/>
        <v>-2.2415523586483799E-2</v>
      </c>
      <c r="F63" s="45">
        <v>19542.650000000001</v>
      </c>
      <c r="G63" s="11">
        <f t="shared" si="1"/>
        <v>-1.0551337776978809E-2</v>
      </c>
    </row>
    <row r="64" spans="2:7" x14ac:dyDescent="0.25">
      <c r="B64" s="36">
        <v>45221</v>
      </c>
      <c r="C64" s="45">
        <v>433.75</v>
      </c>
      <c r="D64" s="11">
        <f t="shared" si="0"/>
        <v>-1.0381017567875905E-2</v>
      </c>
      <c r="F64" s="45">
        <v>19047.25</v>
      </c>
      <c r="G64" s="11">
        <f t="shared" si="1"/>
        <v>-2.5349683896503383E-2</v>
      </c>
    </row>
    <row r="65" spans="2:7" x14ac:dyDescent="0.25">
      <c r="B65" s="36">
        <v>45228</v>
      </c>
      <c r="C65" s="45">
        <v>433.25</v>
      </c>
      <c r="D65" s="11">
        <f t="shared" si="0"/>
        <v>-1.1527377521614035E-3</v>
      </c>
      <c r="F65" s="45">
        <v>19230.599999999999</v>
      </c>
      <c r="G65" s="11">
        <f t="shared" si="1"/>
        <v>9.6260615049414966E-3</v>
      </c>
    </row>
    <row r="66" spans="2:7" x14ac:dyDescent="0.25">
      <c r="B66" s="36">
        <v>45235</v>
      </c>
      <c r="C66" s="45">
        <v>436.55</v>
      </c>
      <c r="D66" s="11">
        <f t="shared" si="0"/>
        <v>7.6168493941142223E-3</v>
      </c>
      <c r="F66" s="45">
        <v>19425.349999999999</v>
      </c>
      <c r="G66" s="11">
        <f t="shared" si="1"/>
        <v>1.0127089118384225E-2</v>
      </c>
    </row>
    <row r="67" spans="2:7" x14ac:dyDescent="0.25">
      <c r="B67" s="36">
        <v>45242</v>
      </c>
      <c r="C67" s="45">
        <v>439.25</v>
      </c>
      <c r="D67" s="11">
        <f t="shared" si="0"/>
        <v>6.1848585499941766E-3</v>
      </c>
      <c r="F67" s="45">
        <v>19731.8</v>
      </c>
      <c r="G67" s="11">
        <f t="shared" si="1"/>
        <v>1.5775777527818002E-2</v>
      </c>
    </row>
    <row r="68" spans="2:7" x14ac:dyDescent="0.25">
      <c r="B68" s="36">
        <v>45249</v>
      </c>
      <c r="C68" s="45">
        <v>437.8</v>
      </c>
      <c r="D68" s="11">
        <f t="shared" si="0"/>
        <v>-3.3010813887307533E-3</v>
      </c>
      <c r="F68" s="45">
        <v>19794.7</v>
      </c>
      <c r="G68" s="11">
        <f t="shared" si="1"/>
        <v>3.1877476966115648E-3</v>
      </c>
    </row>
    <row r="69" spans="2:7" x14ac:dyDescent="0.25">
      <c r="B69" s="36">
        <v>45256</v>
      </c>
      <c r="C69" s="45">
        <v>449.8</v>
      </c>
      <c r="D69" s="11">
        <f t="shared" si="0"/>
        <v>2.7409776153494825E-2</v>
      </c>
      <c r="F69" s="45">
        <v>20267.900000000001</v>
      </c>
      <c r="G69" s="11">
        <f t="shared" si="1"/>
        <v>2.3905388816198414E-2</v>
      </c>
    </row>
    <row r="70" spans="2:7" x14ac:dyDescent="0.25">
      <c r="B70" s="36">
        <v>45263</v>
      </c>
      <c r="C70" s="45">
        <v>449.15</v>
      </c>
      <c r="D70" s="11">
        <f t="shared" si="0"/>
        <v>-1.4450867052023808E-3</v>
      </c>
      <c r="F70" s="45">
        <v>20969.400000000001</v>
      </c>
      <c r="G70" s="11">
        <f t="shared" si="1"/>
        <v>3.4611380557433069E-2</v>
      </c>
    </row>
    <row r="71" spans="2:7" x14ac:dyDescent="0.25">
      <c r="B71" s="36">
        <v>45270</v>
      </c>
      <c r="C71" s="45">
        <v>458.2</v>
      </c>
      <c r="D71" s="11">
        <f t="shared" si="0"/>
        <v>2.0149170655682891E-2</v>
      </c>
      <c r="F71" s="45">
        <v>21456.65</v>
      </c>
      <c r="G71" s="11">
        <f t="shared" si="1"/>
        <v>2.3236239472755438E-2</v>
      </c>
    </row>
    <row r="72" spans="2:7" x14ac:dyDescent="0.25">
      <c r="B72" s="36">
        <v>45277</v>
      </c>
      <c r="C72" s="45">
        <v>455.2</v>
      </c>
      <c r="D72" s="11">
        <f t="shared" si="0"/>
        <v>-6.5473592317765172E-3</v>
      </c>
      <c r="F72" s="45">
        <v>21349.4</v>
      </c>
      <c r="G72" s="11">
        <f t="shared" si="1"/>
        <v>-4.9984503638732525E-3</v>
      </c>
    </row>
    <row r="73" spans="2:7" x14ac:dyDescent="0.25">
      <c r="B73" s="36">
        <v>45284</v>
      </c>
      <c r="C73" s="45">
        <v>462.1</v>
      </c>
      <c r="D73" s="11">
        <f t="shared" si="0"/>
        <v>1.5158172231986011E-2</v>
      </c>
      <c r="F73" s="45">
        <v>21731.4</v>
      </c>
      <c r="G73" s="11">
        <f t="shared" si="1"/>
        <v>1.7892774504201459E-2</v>
      </c>
    </row>
    <row r="74" spans="2:7" x14ac:dyDescent="0.25">
      <c r="B74" s="36">
        <v>45291</v>
      </c>
      <c r="C74" s="45">
        <v>473.95</v>
      </c>
      <c r="D74" s="11">
        <f t="shared" si="0"/>
        <v>2.5643800043280596E-2</v>
      </c>
      <c r="F74" s="45">
        <v>21710.799999999999</v>
      </c>
      <c r="G74" s="11">
        <f t="shared" si="1"/>
        <v>-9.479370864280412E-4</v>
      </c>
    </row>
    <row r="75" spans="2:7" x14ac:dyDescent="0.25">
      <c r="B75" s="36">
        <v>45298</v>
      </c>
      <c r="C75" s="45">
        <v>466.7</v>
      </c>
      <c r="D75" s="11">
        <f t="shared" si="0"/>
        <v>-1.5296972254457253E-2</v>
      </c>
      <c r="F75" s="45">
        <v>21894.55</v>
      </c>
      <c r="G75" s="11">
        <f t="shared" si="1"/>
        <v>8.4635296718684749E-3</v>
      </c>
    </row>
    <row r="76" spans="2:7" x14ac:dyDescent="0.25">
      <c r="B76" s="36">
        <v>45305</v>
      </c>
      <c r="C76" s="45">
        <v>471.5</v>
      </c>
      <c r="D76" s="11">
        <f t="shared" si="0"/>
        <v>1.0284979644311187E-2</v>
      </c>
      <c r="F76" s="45">
        <v>21622.400000000001</v>
      </c>
      <c r="G76" s="11">
        <f t="shared" si="1"/>
        <v>-1.2430033958222397E-2</v>
      </c>
    </row>
    <row r="77" spans="2:7" x14ac:dyDescent="0.25">
      <c r="B77" s="36">
        <v>45312</v>
      </c>
      <c r="C77" s="45">
        <v>455.65</v>
      </c>
      <c r="D77" s="11">
        <f t="shared" ref="D77:D114" si="2">C77/C76-1</f>
        <v>-3.3616118769883352E-2</v>
      </c>
      <c r="F77" s="45">
        <v>21352.6</v>
      </c>
      <c r="G77" s="11">
        <f t="shared" ref="G77:G114" si="3">F77/F76-1</f>
        <v>-1.2477800799171379E-2</v>
      </c>
    </row>
    <row r="78" spans="2:7" x14ac:dyDescent="0.25">
      <c r="B78" s="36">
        <v>45319</v>
      </c>
      <c r="C78" s="45">
        <v>440.1</v>
      </c>
      <c r="D78" s="11">
        <f t="shared" si="2"/>
        <v>-3.4127071216942695E-2</v>
      </c>
      <c r="F78" s="45">
        <v>21853.8</v>
      </c>
      <c r="G78" s="11">
        <f t="shared" si="3"/>
        <v>2.3472551352060167E-2</v>
      </c>
    </row>
    <row r="79" spans="2:7" x14ac:dyDescent="0.25">
      <c r="B79" s="36">
        <v>45326</v>
      </c>
      <c r="C79" s="45">
        <v>415.5</v>
      </c>
      <c r="D79" s="11">
        <f t="shared" si="2"/>
        <v>-5.5896387184730778E-2</v>
      </c>
      <c r="F79" s="45">
        <v>21782.5</v>
      </c>
      <c r="G79" s="11">
        <f t="shared" si="3"/>
        <v>-3.2625904876955047E-3</v>
      </c>
    </row>
    <row r="80" spans="2:7" x14ac:dyDescent="0.25">
      <c r="B80" s="36">
        <v>45333</v>
      </c>
      <c r="C80" s="45">
        <v>404.6</v>
      </c>
      <c r="D80" s="11">
        <f t="shared" si="2"/>
        <v>-2.6233453670276741E-2</v>
      </c>
      <c r="F80" s="45">
        <v>22040.7</v>
      </c>
      <c r="G80" s="11">
        <f t="shared" si="3"/>
        <v>1.1853552163433978E-2</v>
      </c>
    </row>
    <row r="81" spans="2:7" x14ac:dyDescent="0.25">
      <c r="B81" s="36">
        <v>45340</v>
      </c>
      <c r="C81" s="45">
        <v>411.4</v>
      </c>
      <c r="D81" s="11">
        <f t="shared" si="2"/>
        <v>1.6806722689075571E-2</v>
      </c>
      <c r="F81" s="45">
        <v>22212.7</v>
      </c>
      <c r="G81" s="11">
        <f t="shared" si="3"/>
        <v>7.8037448901351336E-3</v>
      </c>
    </row>
    <row r="82" spans="2:7" x14ac:dyDescent="0.25">
      <c r="B82" s="36">
        <v>45347</v>
      </c>
      <c r="C82" s="45">
        <v>409.5</v>
      </c>
      <c r="D82" s="11">
        <f t="shared" si="2"/>
        <v>-4.6183762761302649E-3</v>
      </c>
      <c r="F82" s="45">
        <v>22338.75</v>
      </c>
      <c r="G82" s="11">
        <f t="shared" si="3"/>
        <v>5.6746816010659895E-3</v>
      </c>
    </row>
    <row r="83" spans="2:7" x14ac:dyDescent="0.25">
      <c r="B83" s="36">
        <v>45354</v>
      </c>
      <c r="C83" s="45">
        <v>413.55</v>
      </c>
      <c r="D83" s="11">
        <f t="shared" si="2"/>
        <v>9.890109890109855E-3</v>
      </c>
      <c r="F83" s="45">
        <v>22493.55</v>
      </c>
      <c r="G83" s="11">
        <f t="shared" si="3"/>
        <v>6.929662581836471E-3</v>
      </c>
    </row>
    <row r="84" spans="2:7" x14ac:dyDescent="0.25">
      <c r="B84" s="36">
        <v>45361</v>
      </c>
      <c r="C84" s="45">
        <v>419.1</v>
      </c>
      <c r="D84" s="11">
        <f t="shared" si="2"/>
        <v>1.3420384475879565E-2</v>
      </c>
      <c r="F84" s="45">
        <v>22023.35</v>
      </c>
      <c r="G84" s="11">
        <f t="shared" si="3"/>
        <v>-2.0903770191899484E-2</v>
      </c>
    </row>
    <row r="85" spans="2:7" x14ac:dyDescent="0.25">
      <c r="B85" s="36">
        <v>45368</v>
      </c>
      <c r="C85" s="45">
        <v>428.6</v>
      </c>
      <c r="D85" s="11">
        <f t="shared" si="2"/>
        <v>2.2667621092817836E-2</v>
      </c>
      <c r="F85" s="45">
        <v>22096.75</v>
      </c>
      <c r="G85" s="11">
        <f t="shared" si="3"/>
        <v>3.3328262957270649E-3</v>
      </c>
    </row>
    <row r="86" spans="2:7" x14ac:dyDescent="0.25">
      <c r="B86" s="36">
        <v>45375</v>
      </c>
      <c r="C86" s="45">
        <v>428.35</v>
      </c>
      <c r="D86" s="11">
        <f t="shared" si="2"/>
        <v>-5.8329444703686395E-4</v>
      </c>
      <c r="F86" s="45">
        <v>22326.9</v>
      </c>
      <c r="G86" s="11">
        <f t="shared" si="3"/>
        <v>1.0415558849152129E-2</v>
      </c>
    </row>
    <row r="87" spans="2:7" x14ac:dyDescent="0.25">
      <c r="B87" s="36">
        <v>45382</v>
      </c>
      <c r="C87" s="45">
        <v>427.55</v>
      </c>
      <c r="D87" s="11">
        <f t="shared" si="2"/>
        <v>-1.8676316096649659E-3</v>
      </c>
      <c r="F87" s="45">
        <v>22513.7</v>
      </c>
      <c r="G87" s="11">
        <f t="shared" si="3"/>
        <v>8.3665891816597782E-3</v>
      </c>
    </row>
    <row r="88" spans="2:7" x14ac:dyDescent="0.25">
      <c r="B88" s="36">
        <v>45389</v>
      </c>
      <c r="C88" s="45">
        <v>430.1</v>
      </c>
      <c r="D88" s="11">
        <f t="shared" si="2"/>
        <v>5.9642147117295874E-3</v>
      </c>
      <c r="F88" s="45">
        <v>22519.4</v>
      </c>
      <c r="G88" s="11">
        <f t="shared" si="3"/>
        <v>2.5317917534661838E-4</v>
      </c>
    </row>
    <row r="89" spans="2:7" x14ac:dyDescent="0.25">
      <c r="B89" s="36">
        <v>45396</v>
      </c>
      <c r="C89" s="45">
        <v>424.75</v>
      </c>
      <c r="D89" s="11">
        <f t="shared" si="2"/>
        <v>-1.2438967681934532E-2</v>
      </c>
      <c r="F89" s="45">
        <v>22147</v>
      </c>
      <c r="G89" s="11">
        <f t="shared" si="3"/>
        <v>-1.6536852669254087E-2</v>
      </c>
    </row>
    <row r="90" spans="2:7" x14ac:dyDescent="0.25">
      <c r="B90" s="36">
        <v>45403</v>
      </c>
      <c r="C90" s="45">
        <v>440</v>
      </c>
      <c r="D90" s="11">
        <f t="shared" si="2"/>
        <v>3.5903472630959499E-2</v>
      </c>
      <c r="F90" s="45">
        <v>22419.95</v>
      </c>
      <c r="G90" s="11">
        <f t="shared" si="3"/>
        <v>1.2324468325281002E-2</v>
      </c>
    </row>
    <row r="91" spans="2:7" x14ac:dyDescent="0.25">
      <c r="B91" s="36">
        <v>45410</v>
      </c>
      <c r="C91" s="45">
        <v>436.45</v>
      </c>
      <c r="D91" s="11">
        <f t="shared" si="2"/>
        <v>-8.0681818181818077E-3</v>
      </c>
      <c r="F91" s="45">
        <v>22475.85</v>
      </c>
      <c r="G91" s="11">
        <f t="shared" si="3"/>
        <v>2.4933151055197555E-3</v>
      </c>
    </row>
    <row r="92" spans="2:7" x14ac:dyDescent="0.25">
      <c r="B92" s="36">
        <v>45417</v>
      </c>
      <c r="C92" s="45">
        <v>433.35</v>
      </c>
      <c r="D92" s="11">
        <f t="shared" si="2"/>
        <v>-7.1027609119027613E-3</v>
      </c>
      <c r="F92" s="45">
        <v>22055.200000000001</v>
      </c>
      <c r="G92" s="11">
        <f t="shared" si="3"/>
        <v>-1.8715643679771743E-2</v>
      </c>
    </row>
    <row r="93" spans="2:7" x14ac:dyDescent="0.25">
      <c r="B93" s="36">
        <v>45424</v>
      </c>
      <c r="C93" s="45">
        <v>436.3</v>
      </c>
      <c r="D93" s="11">
        <f t="shared" si="2"/>
        <v>6.8074304834429E-3</v>
      </c>
      <c r="F93" s="45">
        <v>22466.1</v>
      </c>
      <c r="G93" s="11">
        <f t="shared" si="3"/>
        <v>1.8630527041241907E-2</v>
      </c>
    </row>
    <row r="94" spans="2:7" x14ac:dyDescent="0.25">
      <c r="B94" s="36">
        <v>45431</v>
      </c>
      <c r="C94" s="45">
        <v>436.2</v>
      </c>
      <c r="D94" s="11">
        <f t="shared" si="2"/>
        <v>-2.2920009168003741E-4</v>
      </c>
      <c r="F94" s="45">
        <v>22957.1</v>
      </c>
      <c r="G94" s="11">
        <f t="shared" si="3"/>
        <v>2.1855150649200406E-2</v>
      </c>
    </row>
    <row r="95" spans="2:7" x14ac:dyDescent="0.25">
      <c r="B95" s="36">
        <v>45438</v>
      </c>
      <c r="C95" s="45">
        <v>426.45</v>
      </c>
      <c r="D95" s="11">
        <f t="shared" si="2"/>
        <v>-2.235213204951858E-2</v>
      </c>
      <c r="F95" s="45">
        <v>22530.7</v>
      </c>
      <c r="G95" s="11">
        <f t="shared" si="3"/>
        <v>-1.8573774562117951E-2</v>
      </c>
    </row>
    <row r="96" spans="2:7" x14ac:dyDescent="0.25">
      <c r="B96" s="36">
        <v>45445</v>
      </c>
      <c r="C96" s="45">
        <v>439.15</v>
      </c>
      <c r="D96" s="11">
        <f t="shared" si="2"/>
        <v>2.9780748036112081E-2</v>
      </c>
      <c r="F96" s="45">
        <v>23290.15</v>
      </c>
      <c r="G96" s="11">
        <f t="shared" si="3"/>
        <v>3.3707341538434354E-2</v>
      </c>
    </row>
    <row r="97" spans="2:7" x14ac:dyDescent="0.25">
      <c r="B97" s="36">
        <v>45452</v>
      </c>
      <c r="C97" s="45">
        <v>431.15</v>
      </c>
      <c r="D97" s="11">
        <f t="shared" si="2"/>
        <v>-1.8217010133211864E-2</v>
      </c>
      <c r="F97" s="45">
        <v>23465.599999999999</v>
      </c>
      <c r="G97" s="11">
        <f t="shared" si="3"/>
        <v>7.5332275661599279E-3</v>
      </c>
    </row>
    <row r="98" spans="2:7" x14ac:dyDescent="0.25">
      <c r="B98" s="36">
        <v>45459</v>
      </c>
      <c r="C98" s="45">
        <v>419.6</v>
      </c>
      <c r="D98" s="11">
        <f t="shared" si="2"/>
        <v>-2.6788820596080121E-2</v>
      </c>
      <c r="F98" s="45">
        <v>23501.1</v>
      </c>
      <c r="G98" s="11">
        <f t="shared" si="3"/>
        <v>1.5128528569481325E-3</v>
      </c>
    </row>
    <row r="99" spans="2:7" x14ac:dyDescent="0.25">
      <c r="B99" s="36">
        <v>45466</v>
      </c>
      <c r="C99" s="45">
        <v>424.9</v>
      </c>
      <c r="D99" s="11">
        <f t="shared" si="2"/>
        <v>1.2631077216396447E-2</v>
      </c>
      <c r="F99" s="45">
        <v>24010.6</v>
      </c>
      <c r="G99" s="11">
        <f t="shared" si="3"/>
        <v>2.1679836262983532E-2</v>
      </c>
    </row>
    <row r="100" spans="2:7" x14ac:dyDescent="0.25">
      <c r="B100" s="36">
        <v>45473</v>
      </c>
      <c r="C100" s="45">
        <v>433.65</v>
      </c>
      <c r="D100" s="11">
        <f t="shared" si="2"/>
        <v>2.0593080724876422E-2</v>
      </c>
      <c r="F100" s="45">
        <v>24323.85</v>
      </c>
      <c r="G100" s="11">
        <f t="shared" si="3"/>
        <v>1.3046321208133094E-2</v>
      </c>
    </row>
    <row r="101" spans="2:7" x14ac:dyDescent="0.25">
      <c r="B101" s="36">
        <v>45480</v>
      </c>
      <c r="C101" s="45">
        <v>459.05</v>
      </c>
      <c r="D101" s="11">
        <f t="shared" si="2"/>
        <v>5.8572581575002891E-2</v>
      </c>
      <c r="F101" s="45">
        <v>24502.15</v>
      </c>
      <c r="G101" s="11">
        <f t="shared" si="3"/>
        <v>7.3302540510651326E-3</v>
      </c>
    </row>
    <row r="102" spans="2:7" x14ac:dyDescent="0.25">
      <c r="B102" s="36">
        <v>45487</v>
      </c>
      <c r="C102" s="45">
        <v>474.55</v>
      </c>
      <c r="D102" s="11">
        <f t="shared" si="2"/>
        <v>3.3765385034310036E-2</v>
      </c>
      <c r="F102" s="45">
        <v>24530.9</v>
      </c>
      <c r="G102" s="11">
        <f t="shared" si="3"/>
        <v>1.1733664188653403E-3</v>
      </c>
    </row>
    <row r="103" spans="2:7" x14ac:dyDescent="0.25">
      <c r="B103" s="36">
        <v>45494</v>
      </c>
      <c r="C103" s="45">
        <v>502.2</v>
      </c>
      <c r="D103" s="11">
        <f t="shared" si="2"/>
        <v>5.8265725424085923E-2</v>
      </c>
      <c r="F103" s="45">
        <v>24834.85</v>
      </c>
      <c r="G103" s="11">
        <f t="shared" si="3"/>
        <v>1.2390495252925682E-2</v>
      </c>
    </row>
    <row r="104" spans="2:7" x14ac:dyDescent="0.25">
      <c r="B104" s="36">
        <v>45501</v>
      </c>
      <c r="C104" s="45">
        <v>489.1</v>
      </c>
      <c r="D104" s="11">
        <f t="shared" si="2"/>
        <v>-2.6085225009956137E-2</v>
      </c>
      <c r="F104" s="45">
        <v>24717.7</v>
      </c>
      <c r="G104" s="11">
        <f t="shared" si="3"/>
        <v>-4.7171615693268887E-3</v>
      </c>
    </row>
    <row r="105" spans="2:7" x14ac:dyDescent="0.25">
      <c r="B105" s="36">
        <v>45508</v>
      </c>
      <c r="C105" s="45">
        <v>495.9</v>
      </c>
      <c r="D105" s="11">
        <f t="shared" si="2"/>
        <v>1.3903087303209993E-2</v>
      </c>
      <c r="F105" s="45">
        <v>24367.5</v>
      </c>
      <c r="G105" s="11">
        <f t="shared" si="3"/>
        <v>-1.4167984885325113E-2</v>
      </c>
    </row>
    <row r="106" spans="2:7" x14ac:dyDescent="0.25">
      <c r="B106" s="36">
        <v>45515</v>
      </c>
      <c r="C106" s="45">
        <v>502.65</v>
      </c>
      <c r="D106" s="11">
        <f t="shared" si="2"/>
        <v>1.3611615245008979E-2</v>
      </c>
      <c r="F106" s="45">
        <v>24541.15</v>
      </c>
      <c r="G106" s="11">
        <f t="shared" si="3"/>
        <v>7.1262952703396998E-3</v>
      </c>
    </row>
    <row r="107" spans="2:7" x14ac:dyDescent="0.25">
      <c r="B107" s="36">
        <v>45522</v>
      </c>
      <c r="C107" s="45">
        <v>505.8</v>
      </c>
      <c r="D107" s="11">
        <f t="shared" si="2"/>
        <v>6.2667860340197556E-3</v>
      </c>
      <c r="F107" s="45">
        <v>24823.15</v>
      </c>
      <c r="G107" s="11">
        <f t="shared" si="3"/>
        <v>1.1490904052988471E-2</v>
      </c>
    </row>
    <row r="108" spans="2:7" x14ac:dyDescent="0.25">
      <c r="B108" s="36">
        <v>45529</v>
      </c>
      <c r="C108" s="45">
        <v>501.9</v>
      </c>
      <c r="D108" s="11">
        <f t="shared" si="2"/>
        <v>-7.7105575326216202E-3</v>
      </c>
      <c r="F108" s="45">
        <v>25235.9</v>
      </c>
      <c r="G108" s="11">
        <f t="shared" si="3"/>
        <v>1.6627623810837822E-2</v>
      </c>
    </row>
    <row r="109" spans="2:7" x14ac:dyDescent="0.25">
      <c r="B109" s="36">
        <v>45536</v>
      </c>
      <c r="C109" s="45">
        <v>501.7</v>
      </c>
      <c r="D109" s="11">
        <f t="shared" si="2"/>
        <v>-3.9848575413425902E-4</v>
      </c>
      <c r="F109" s="45">
        <v>24852.15</v>
      </c>
      <c r="G109" s="11">
        <f t="shared" si="3"/>
        <v>-1.5206511358818231E-2</v>
      </c>
    </row>
    <row r="110" spans="2:7" x14ac:dyDescent="0.25">
      <c r="B110" s="36">
        <v>45543</v>
      </c>
      <c r="C110" s="45">
        <v>513.85</v>
      </c>
      <c r="D110" s="11">
        <f t="shared" si="2"/>
        <v>2.4217659956149218E-2</v>
      </c>
      <c r="F110" s="45">
        <v>25356.5</v>
      </c>
      <c r="G110" s="11">
        <f t="shared" si="3"/>
        <v>2.0294018827344829E-2</v>
      </c>
    </row>
    <row r="111" spans="2:7" x14ac:dyDescent="0.25">
      <c r="B111" s="36">
        <v>45550</v>
      </c>
      <c r="C111" s="45">
        <v>514.4</v>
      </c>
      <c r="D111" s="11">
        <f t="shared" si="2"/>
        <v>1.0703512698257978E-3</v>
      </c>
      <c r="F111" s="45">
        <v>25790.95</v>
      </c>
      <c r="G111" s="11">
        <f t="shared" si="3"/>
        <v>1.7133673811448702E-2</v>
      </c>
    </row>
    <row r="112" spans="2:7" x14ac:dyDescent="0.25">
      <c r="B112" s="36">
        <v>45557</v>
      </c>
      <c r="C112" s="45">
        <v>522.70000000000005</v>
      </c>
      <c r="D112" s="11">
        <f t="shared" si="2"/>
        <v>1.6135303265941037E-2</v>
      </c>
      <c r="F112" s="45">
        <v>26178.95</v>
      </c>
      <c r="G112" s="11">
        <f t="shared" si="3"/>
        <v>1.5044036764834123E-2</v>
      </c>
    </row>
    <row r="113" spans="1:14" x14ac:dyDescent="0.25">
      <c r="B113" s="36">
        <v>45564</v>
      </c>
      <c r="C113" s="45">
        <v>503.55</v>
      </c>
      <c r="D113" s="11">
        <f t="shared" si="2"/>
        <v>-3.6636694088387323E-2</v>
      </c>
      <c r="F113" s="45">
        <v>25014.6</v>
      </c>
      <c r="G113" s="11">
        <f t="shared" si="3"/>
        <v>-4.4476573735768743E-2</v>
      </c>
    </row>
    <row r="114" spans="1:14" x14ac:dyDescent="0.25">
      <c r="B114" s="36">
        <v>45571</v>
      </c>
      <c r="C114" s="45">
        <v>491.7</v>
      </c>
      <c r="D114" s="11">
        <f t="shared" si="2"/>
        <v>-2.3532916294310424E-2</v>
      </c>
      <c r="F114" s="45">
        <v>24964.25</v>
      </c>
      <c r="G114" s="11">
        <f t="shared" si="3"/>
        <v>-2.0128245104857889E-3</v>
      </c>
    </row>
    <row r="117" spans="1:14" x14ac:dyDescent="0.25">
      <c r="A117" t="s">
        <v>94</v>
      </c>
      <c r="B117" s="181" t="s">
        <v>327</v>
      </c>
      <c r="E117" s="4"/>
    </row>
    <row r="118" spans="1:14" x14ac:dyDescent="0.25">
      <c r="B118" s="181"/>
      <c r="E118" s="4"/>
    </row>
    <row r="119" spans="1:14" x14ac:dyDescent="0.25">
      <c r="B119" s="185" t="s">
        <v>329</v>
      </c>
      <c r="C119" s="185"/>
      <c r="D119" s="185"/>
      <c r="E119" s="4"/>
      <c r="F119" s="185" t="s">
        <v>43</v>
      </c>
      <c r="G119" s="185"/>
      <c r="I119" s="185" t="s">
        <v>72</v>
      </c>
      <c r="J119" s="185"/>
    </row>
    <row r="121" spans="1:14" x14ac:dyDescent="0.25">
      <c r="B121" s="34" t="s">
        <v>40</v>
      </c>
      <c r="C121" s="35" t="s">
        <v>41</v>
      </c>
      <c r="D121" s="35" t="s">
        <v>42</v>
      </c>
      <c r="F121" s="35" t="s">
        <v>41</v>
      </c>
      <c r="G121" s="35" t="s">
        <v>42</v>
      </c>
      <c r="I121" s="42" t="s">
        <v>73</v>
      </c>
      <c r="J121" s="13">
        <f>M124</f>
        <v>0.96150882447266273</v>
      </c>
      <c r="L121" t="s">
        <v>331</v>
      </c>
      <c r="M121" s="13">
        <f>SLOPE(D123:D225,G123:G225)</f>
        <v>0.96150882447266262</v>
      </c>
    </row>
    <row r="122" spans="1:14" x14ac:dyDescent="0.25">
      <c r="B122" s="183">
        <v>44850</v>
      </c>
      <c r="C122">
        <v>1423.45</v>
      </c>
      <c r="F122" s="45">
        <v>17576.3</v>
      </c>
      <c r="I122" t="s">
        <v>74</v>
      </c>
      <c r="J122" s="20">
        <v>0.75</v>
      </c>
      <c r="L122" t="s">
        <v>45</v>
      </c>
      <c r="M122" s="13">
        <f>_xlfn.COVARIANCE.S(D123:D225,G123:G225)/_xlfn.VAR.S(G123:G225)</f>
        <v>0.96150882447266217</v>
      </c>
    </row>
    <row r="123" spans="1:14" x14ac:dyDescent="0.25">
      <c r="B123" s="36">
        <v>44857</v>
      </c>
      <c r="C123">
        <v>1470.6</v>
      </c>
      <c r="D123" s="11">
        <f>C123/C122-1</f>
        <v>3.3123748638870243E-2</v>
      </c>
      <c r="F123" s="45">
        <v>17786.8</v>
      </c>
      <c r="G123" s="11">
        <f>F123/F122-1</f>
        <v>1.1976354522851729E-2</v>
      </c>
      <c r="N123" s="13"/>
    </row>
    <row r="124" spans="1:14" x14ac:dyDescent="0.25">
      <c r="B124" s="36">
        <v>44864</v>
      </c>
      <c r="C124">
        <v>1619.3</v>
      </c>
      <c r="D124" s="11">
        <f t="shared" ref="D124:D187" si="4">C124/C123-1</f>
        <v>0.10111519107847133</v>
      </c>
      <c r="F124" s="45">
        <v>18117.150000000001</v>
      </c>
      <c r="G124" s="11">
        <f t="shared" ref="G124:G187" si="5">F124/F123-1</f>
        <v>1.8572761823374861E-2</v>
      </c>
      <c r="I124" t="s">
        <v>75</v>
      </c>
      <c r="J124">
        <v>1</v>
      </c>
      <c r="L124" t="s">
        <v>46</v>
      </c>
      <c r="M124" s="13">
        <f>J147</f>
        <v>0.96150882447266273</v>
      </c>
    </row>
    <row r="125" spans="1:14" x14ac:dyDescent="0.25">
      <c r="B125" s="36">
        <v>44871</v>
      </c>
      <c r="C125">
        <v>1681.75</v>
      </c>
      <c r="D125" s="11">
        <f t="shared" si="4"/>
        <v>3.8566047057370545E-2</v>
      </c>
      <c r="F125" s="45">
        <v>18349.7</v>
      </c>
      <c r="G125" s="11">
        <f t="shared" si="5"/>
        <v>1.2835904101914375E-2</v>
      </c>
      <c r="I125" t="s">
        <v>76</v>
      </c>
      <c r="J125" s="20">
        <v>0.25</v>
      </c>
    </row>
    <row r="126" spans="1:14" x14ac:dyDescent="0.25">
      <c r="B126" s="36">
        <v>44878</v>
      </c>
      <c r="C126">
        <v>1842.6</v>
      </c>
      <c r="D126" s="11">
        <f t="shared" si="4"/>
        <v>9.5644418016946675E-2</v>
      </c>
      <c r="F126" s="45">
        <v>18307.650000000001</v>
      </c>
      <c r="G126" s="11">
        <f t="shared" si="5"/>
        <v>-2.2915905982113793E-3</v>
      </c>
    </row>
    <row r="127" spans="1:14" x14ac:dyDescent="0.25">
      <c r="B127" s="36">
        <v>44885</v>
      </c>
      <c r="C127">
        <v>1741.05</v>
      </c>
      <c r="D127" s="11">
        <f t="shared" si="4"/>
        <v>-5.511234125691955E-2</v>
      </c>
      <c r="F127" s="45">
        <v>18512.75</v>
      </c>
      <c r="G127" s="11">
        <f t="shared" si="5"/>
        <v>1.1202967065680136E-2</v>
      </c>
      <c r="I127" s="43" t="s">
        <v>77</v>
      </c>
      <c r="J127" s="44">
        <f>(Levered_Raw_Beta*Raw_Beta_Weight)+(Market_Beta*Market_Beta_Weight)</f>
        <v>0.71277536459335122</v>
      </c>
    </row>
    <row r="128" spans="1:14" x14ac:dyDescent="0.25">
      <c r="B128" s="36">
        <v>44892</v>
      </c>
      <c r="C128">
        <v>1819.75</v>
      </c>
      <c r="D128" s="11">
        <f t="shared" si="4"/>
        <v>4.5202607621837476E-2</v>
      </c>
      <c r="F128" s="45">
        <v>18696.099999999999</v>
      </c>
      <c r="G128" s="11">
        <f t="shared" si="5"/>
        <v>9.9039850913558158E-3</v>
      </c>
    </row>
    <row r="129" spans="2:14" x14ac:dyDescent="0.25">
      <c r="B129" s="36">
        <v>44899</v>
      </c>
      <c r="C129">
        <v>1953</v>
      </c>
      <c r="D129" s="11">
        <f t="shared" si="4"/>
        <v>7.3224344003297137E-2</v>
      </c>
      <c r="F129" s="45">
        <v>18496.599999999999</v>
      </c>
      <c r="G129" s="11">
        <f t="shared" si="5"/>
        <v>-1.0670674632677457E-2</v>
      </c>
    </row>
    <row r="130" spans="2:14" x14ac:dyDescent="0.25">
      <c r="B130" s="36">
        <v>44906</v>
      </c>
      <c r="C130">
        <v>1893.4</v>
      </c>
      <c r="D130" s="11">
        <f t="shared" si="4"/>
        <v>-3.0517153097798233E-2</v>
      </c>
      <c r="F130" s="45">
        <v>18269</v>
      </c>
      <c r="G130" s="11">
        <f t="shared" si="5"/>
        <v>-1.2304964155574472E-2</v>
      </c>
      <c r="I130" t="s">
        <v>47</v>
      </c>
    </row>
    <row r="131" spans="2:14" ht="15.75" thickBot="1" x14ac:dyDescent="0.3">
      <c r="B131" s="36">
        <v>44913</v>
      </c>
      <c r="C131">
        <v>1667.1</v>
      </c>
      <c r="D131" s="11">
        <f t="shared" si="4"/>
        <v>-0.11952043942114721</v>
      </c>
      <c r="F131" s="45">
        <v>17806.8</v>
      </c>
      <c r="G131" s="11">
        <f t="shared" si="5"/>
        <v>-2.5299687996058973E-2</v>
      </c>
    </row>
    <row r="132" spans="2:14" x14ac:dyDescent="0.25">
      <c r="B132" s="36">
        <v>44920</v>
      </c>
      <c r="C132">
        <v>1978.7</v>
      </c>
      <c r="D132" s="11">
        <f t="shared" si="4"/>
        <v>0.18691140303521103</v>
      </c>
      <c r="F132" s="45">
        <v>18105.3</v>
      </c>
      <c r="G132" s="11">
        <f t="shared" si="5"/>
        <v>1.6763258979715534E-2</v>
      </c>
      <c r="I132" s="41" t="s">
        <v>48</v>
      </c>
      <c r="J132" s="41"/>
    </row>
    <row r="133" spans="2:14" x14ac:dyDescent="0.25">
      <c r="B133" s="36">
        <v>44927</v>
      </c>
      <c r="C133">
        <v>1997.4</v>
      </c>
      <c r="D133" s="11">
        <f t="shared" si="4"/>
        <v>9.4506494162833743E-3</v>
      </c>
      <c r="F133" s="45">
        <v>17859.45</v>
      </c>
      <c r="G133" s="11">
        <f t="shared" si="5"/>
        <v>-1.3578896787128536E-2</v>
      </c>
      <c r="I133" s="38" t="s">
        <v>49</v>
      </c>
      <c r="J133" s="38">
        <v>0.22009991116358413</v>
      </c>
    </row>
    <row r="134" spans="2:14" x14ac:dyDescent="0.25">
      <c r="B134" s="36">
        <v>44934</v>
      </c>
      <c r="C134">
        <v>2040.05</v>
      </c>
      <c r="D134" s="11">
        <f t="shared" si="4"/>
        <v>2.1352758586161924E-2</v>
      </c>
      <c r="F134" s="45">
        <v>17956.599999999999</v>
      </c>
      <c r="G134" s="11">
        <f t="shared" si="5"/>
        <v>5.4396971911228054E-3</v>
      </c>
      <c r="I134" s="38" t="s">
        <v>50</v>
      </c>
      <c r="J134" s="38">
        <v>4.8443970894217619E-2</v>
      </c>
    </row>
    <row r="135" spans="2:14" x14ac:dyDescent="0.25">
      <c r="B135" s="36">
        <v>44941</v>
      </c>
      <c r="C135">
        <v>1914.85</v>
      </c>
      <c r="D135" s="11">
        <f t="shared" si="4"/>
        <v>-6.1371044827332688E-2</v>
      </c>
      <c r="F135" s="45">
        <v>18027.650000000001</v>
      </c>
      <c r="G135" s="11">
        <f t="shared" si="5"/>
        <v>3.9567624160476988E-3</v>
      </c>
      <c r="I135" s="38" t="s">
        <v>51</v>
      </c>
      <c r="J135" s="38">
        <v>3.9022624071388089E-2</v>
      </c>
    </row>
    <row r="136" spans="2:14" x14ac:dyDescent="0.25">
      <c r="B136" s="36">
        <v>44948</v>
      </c>
      <c r="C136">
        <v>1890.75</v>
      </c>
      <c r="D136" s="11">
        <f t="shared" si="4"/>
        <v>-1.2585842233073019E-2</v>
      </c>
      <c r="F136" s="45">
        <v>17604.349999999999</v>
      </c>
      <c r="G136" s="11">
        <f t="shared" si="5"/>
        <v>-2.3480597859399488E-2</v>
      </c>
      <c r="I136" s="38" t="s">
        <v>52</v>
      </c>
      <c r="J136" s="38">
        <v>6.2616019716497925E-2</v>
      </c>
    </row>
    <row r="137" spans="2:14" ht="15.75" thickBot="1" x14ac:dyDescent="0.3">
      <c r="B137" s="36">
        <v>44955</v>
      </c>
      <c r="C137">
        <v>1819.85</v>
      </c>
      <c r="D137" s="11">
        <f t="shared" si="4"/>
        <v>-3.7498347216712968E-2</v>
      </c>
      <c r="F137" s="45">
        <v>17854.05</v>
      </c>
      <c r="G137" s="11">
        <f t="shared" si="5"/>
        <v>1.4183994296864233E-2</v>
      </c>
      <c r="I137" s="39" t="s">
        <v>53</v>
      </c>
      <c r="J137" s="39">
        <v>103</v>
      </c>
    </row>
    <row r="138" spans="2:14" x14ac:dyDescent="0.25">
      <c r="B138" s="36">
        <v>44962</v>
      </c>
      <c r="C138">
        <v>1789.25</v>
      </c>
      <c r="D138" s="11">
        <f t="shared" si="4"/>
        <v>-1.6814572629612279E-2</v>
      </c>
      <c r="F138" s="45">
        <v>17856.5</v>
      </c>
      <c r="G138" s="11">
        <f t="shared" si="5"/>
        <v>1.372237671564136E-4</v>
      </c>
    </row>
    <row r="139" spans="2:14" ht="15.75" thickBot="1" x14ac:dyDescent="0.3">
      <c r="B139" s="36">
        <v>44969</v>
      </c>
      <c r="C139">
        <v>1757.3</v>
      </c>
      <c r="D139" s="11">
        <f t="shared" si="4"/>
        <v>-1.7856643845186593E-2</v>
      </c>
      <c r="F139" s="45">
        <v>17944.2</v>
      </c>
      <c r="G139" s="11">
        <f t="shared" si="5"/>
        <v>4.9113768095652155E-3</v>
      </c>
      <c r="I139" t="s">
        <v>54</v>
      </c>
    </row>
    <row r="140" spans="2:14" x14ac:dyDescent="0.25">
      <c r="B140" s="36">
        <v>44976</v>
      </c>
      <c r="C140">
        <v>1730.2</v>
      </c>
      <c r="D140" s="11">
        <f t="shared" si="4"/>
        <v>-1.5421385079383065E-2</v>
      </c>
      <c r="F140" s="45">
        <v>17465.8</v>
      </c>
      <c r="G140" s="11">
        <f t="shared" si="5"/>
        <v>-2.6660425095574092E-2</v>
      </c>
      <c r="I140" s="40"/>
      <c r="J140" s="40" t="s">
        <v>59</v>
      </c>
      <c r="K140" s="40" t="s">
        <v>60</v>
      </c>
      <c r="L140" s="40" t="s">
        <v>61</v>
      </c>
      <c r="M140" s="40" t="s">
        <v>62</v>
      </c>
      <c r="N140" s="40" t="s">
        <v>63</v>
      </c>
    </row>
    <row r="141" spans="2:14" x14ac:dyDescent="0.25">
      <c r="B141" s="36">
        <v>44983</v>
      </c>
      <c r="C141">
        <v>1891.15</v>
      </c>
      <c r="D141" s="11">
        <f t="shared" si="4"/>
        <v>9.3023927869610556E-2</v>
      </c>
      <c r="F141" s="45">
        <v>17594.349999999999</v>
      </c>
      <c r="G141" s="11">
        <f t="shared" si="5"/>
        <v>7.360098020130712E-3</v>
      </c>
      <c r="I141" s="38" t="s">
        <v>55</v>
      </c>
      <c r="J141" s="38">
        <v>1</v>
      </c>
      <c r="K141" s="38">
        <v>2.0160330994303199E-2</v>
      </c>
      <c r="L141" s="38">
        <v>2.0160330994303199E-2</v>
      </c>
      <c r="M141" s="38">
        <v>5.1419369019331311</v>
      </c>
      <c r="N141" s="38">
        <v>2.5484431763954471E-2</v>
      </c>
    </row>
    <row r="142" spans="2:14" x14ac:dyDescent="0.25">
      <c r="B142" s="36">
        <v>44990</v>
      </c>
      <c r="C142">
        <v>1915.45</v>
      </c>
      <c r="D142" s="11">
        <f t="shared" si="4"/>
        <v>1.2849324485101565E-2</v>
      </c>
      <c r="F142" s="45">
        <v>17412.900000000001</v>
      </c>
      <c r="G142" s="11">
        <f t="shared" si="5"/>
        <v>-1.0312969788596749E-2</v>
      </c>
      <c r="I142" s="38" t="s">
        <v>56</v>
      </c>
      <c r="J142" s="38">
        <v>101</v>
      </c>
      <c r="K142" s="38">
        <v>0.39599735843882256</v>
      </c>
      <c r="L142" s="38">
        <v>3.9207659251368574E-3</v>
      </c>
      <c r="M142" s="38"/>
      <c r="N142" s="38"/>
    </row>
    <row r="143" spans="2:14" ht="15.75" thickBot="1" x14ac:dyDescent="0.3">
      <c r="B143" s="36">
        <v>44997</v>
      </c>
      <c r="C143">
        <v>1919.1</v>
      </c>
      <c r="D143" s="11">
        <f t="shared" si="4"/>
        <v>1.9055574408102238E-3</v>
      </c>
      <c r="F143" s="45">
        <v>17100.05</v>
      </c>
      <c r="G143" s="11">
        <f t="shared" si="5"/>
        <v>-1.796656501788918E-2</v>
      </c>
      <c r="I143" s="39" t="s">
        <v>57</v>
      </c>
      <c r="J143" s="39">
        <v>102</v>
      </c>
      <c r="K143" s="39">
        <v>0.41615768943312575</v>
      </c>
      <c r="L143" s="39"/>
      <c r="M143" s="39"/>
      <c r="N143" s="39"/>
    </row>
    <row r="144" spans="2:14" ht="15.75" thickBot="1" x14ac:dyDescent="0.3">
      <c r="B144" s="36">
        <v>45004</v>
      </c>
      <c r="C144">
        <v>1814.25</v>
      </c>
      <c r="D144" s="11">
        <f t="shared" si="4"/>
        <v>-5.4634985149288662E-2</v>
      </c>
      <c r="F144" s="45">
        <v>16945.05</v>
      </c>
      <c r="G144" s="11">
        <f t="shared" si="5"/>
        <v>-9.0643009815760678E-3</v>
      </c>
    </row>
    <row r="145" spans="2:17" x14ac:dyDescent="0.25">
      <c r="B145" s="36">
        <v>45011</v>
      </c>
      <c r="C145">
        <v>1819.75</v>
      </c>
      <c r="D145" s="11">
        <f t="shared" si="4"/>
        <v>3.0315557392861514E-3</v>
      </c>
      <c r="F145" s="45">
        <v>17359.75</v>
      </c>
      <c r="G145" s="11">
        <f t="shared" si="5"/>
        <v>2.4473223743807226E-2</v>
      </c>
      <c r="I145" s="40"/>
      <c r="J145" s="40" t="s">
        <v>64</v>
      </c>
      <c r="K145" s="40" t="s">
        <v>52</v>
      </c>
      <c r="L145" s="40" t="s">
        <v>65</v>
      </c>
      <c r="M145" s="40" t="s">
        <v>66</v>
      </c>
      <c r="N145" s="40" t="s">
        <v>67</v>
      </c>
      <c r="O145" s="40" t="s">
        <v>68</v>
      </c>
      <c r="P145" s="40" t="s">
        <v>69</v>
      </c>
      <c r="Q145" s="40" t="s">
        <v>70</v>
      </c>
    </row>
    <row r="146" spans="2:17" x14ac:dyDescent="0.25">
      <c r="B146" s="36">
        <v>45018</v>
      </c>
      <c r="C146">
        <v>1757.85</v>
      </c>
      <c r="D146" s="11">
        <f t="shared" si="4"/>
        <v>-3.4015661491963223E-2</v>
      </c>
      <c r="F146" s="45">
        <v>17599.150000000001</v>
      </c>
      <c r="G146" s="11">
        <f t="shared" si="5"/>
        <v>1.3790521176860304E-2</v>
      </c>
      <c r="I146" s="38" t="s">
        <v>58</v>
      </c>
      <c r="J146" s="38">
        <v>1.4114731808351502E-2</v>
      </c>
      <c r="K146" s="38">
        <v>6.3475684422828939E-3</v>
      </c>
      <c r="L146" s="38">
        <v>2.2236438939877203</v>
      </c>
      <c r="M146" s="38">
        <v>2.8399921157230459E-2</v>
      </c>
      <c r="N146" s="38">
        <v>1.5228634960123121E-3</v>
      </c>
      <c r="O146" s="38">
        <v>2.6706600120690691E-2</v>
      </c>
      <c r="P146" s="38">
        <v>1.5228634960123121E-3</v>
      </c>
      <c r="Q146" s="38">
        <v>2.6706600120690691E-2</v>
      </c>
    </row>
    <row r="147" spans="2:17" ht="15.75" thickBot="1" x14ac:dyDescent="0.3">
      <c r="B147" s="36">
        <v>45025</v>
      </c>
      <c r="C147">
        <v>1789.25</v>
      </c>
      <c r="D147" s="11">
        <f t="shared" si="4"/>
        <v>1.7862730039537089E-2</v>
      </c>
      <c r="F147" s="45">
        <v>17828</v>
      </c>
      <c r="G147" s="11">
        <f t="shared" si="5"/>
        <v>1.3003468917532901E-2</v>
      </c>
      <c r="I147" s="39" t="s">
        <v>71</v>
      </c>
      <c r="J147" s="39">
        <v>0.96150882447266273</v>
      </c>
      <c r="K147" s="39">
        <v>0.42402347699828996</v>
      </c>
      <c r="L147" s="39">
        <v>2.2675839349257076</v>
      </c>
      <c r="M147" s="39">
        <v>2.5484431763954107E-2</v>
      </c>
      <c r="N147" s="39">
        <v>0.12036030717012225</v>
      </c>
      <c r="O147" s="39">
        <v>1.8026573417752032</v>
      </c>
      <c r="P147" s="39">
        <v>0.12036030717012225</v>
      </c>
      <c r="Q147" s="39">
        <v>1.8026573417752032</v>
      </c>
    </row>
    <row r="148" spans="2:17" x14ac:dyDescent="0.25">
      <c r="B148" s="36">
        <v>45032</v>
      </c>
      <c r="C148">
        <v>1694.8</v>
      </c>
      <c r="D148" s="11">
        <f t="shared" si="4"/>
        <v>-5.2787480788039742E-2</v>
      </c>
      <c r="F148" s="45">
        <v>17624.05</v>
      </c>
      <c r="G148" s="11">
        <f t="shared" si="5"/>
        <v>-1.143986986762402E-2</v>
      </c>
    </row>
    <row r="149" spans="2:17" x14ac:dyDescent="0.25">
      <c r="B149" s="36">
        <v>45039</v>
      </c>
      <c r="C149">
        <v>1770.3</v>
      </c>
      <c r="D149" s="11">
        <f t="shared" si="4"/>
        <v>4.4548029265990108E-2</v>
      </c>
      <c r="F149" s="45">
        <v>18065</v>
      </c>
      <c r="G149" s="11">
        <f t="shared" si="5"/>
        <v>2.5019788300645995E-2</v>
      </c>
    </row>
    <row r="150" spans="2:17" x14ac:dyDescent="0.25">
      <c r="B150" s="36">
        <v>45046</v>
      </c>
      <c r="C150">
        <v>1681.5</v>
      </c>
      <c r="D150" s="11">
        <f t="shared" si="4"/>
        <v>-5.0160989662769051E-2</v>
      </c>
      <c r="F150" s="45">
        <v>18069</v>
      </c>
      <c r="G150" s="11">
        <f t="shared" si="5"/>
        <v>2.2142264046509652E-4</v>
      </c>
    </row>
    <row r="151" spans="2:17" x14ac:dyDescent="0.25">
      <c r="B151" s="36">
        <v>45053</v>
      </c>
      <c r="C151">
        <v>1710.55</v>
      </c>
      <c r="D151" s="11">
        <f t="shared" si="4"/>
        <v>1.7276241451085417E-2</v>
      </c>
      <c r="F151" s="45">
        <v>18314.8</v>
      </c>
      <c r="G151" s="11">
        <f t="shared" si="5"/>
        <v>1.3603409153799317E-2</v>
      </c>
    </row>
    <row r="152" spans="2:17" x14ac:dyDescent="0.25">
      <c r="B152" s="36">
        <v>45060</v>
      </c>
      <c r="C152">
        <v>1736.5</v>
      </c>
      <c r="D152" s="11">
        <f t="shared" si="4"/>
        <v>1.5170559176872933E-2</v>
      </c>
      <c r="F152" s="45">
        <v>18203.400000000001</v>
      </c>
      <c r="G152" s="11">
        <f t="shared" si="5"/>
        <v>-6.0825125035489647E-3</v>
      </c>
    </row>
    <row r="153" spans="2:17" x14ac:dyDescent="0.25">
      <c r="B153" s="36">
        <v>45067</v>
      </c>
      <c r="C153">
        <v>1812.4</v>
      </c>
      <c r="D153" s="11">
        <f t="shared" si="4"/>
        <v>4.3708609271523313E-2</v>
      </c>
      <c r="F153" s="45">
        <v>18499.349999999999</v>
      </c>
      <c r="G153" s="11">
        <f t="shared" si="5"/>
        <v>1.6257951811200044E-2</v>
      </c>
    </row>
    <row r="154" spans="2:17" x14ac:dyDescent="0.25">
      <c r="B154" s="36">
        <v>45074</v>
      </c>
      <c r="C154">
        <v>1704.5</v>
      </c>
      <c r="D154" s="11">
        <f t="shared" si="4"/>
        <v>-5.9534319134848857E-2</v>
      </c>
      <c r="F154" s="45">
        <v>18534.099999999999</v>
      </c>
      <c r="G154" s="11">
        <f t="shared" si="5"/>
        <v>1.8784443777755122E-3</v>
      </c>
    </row>
    <row r="155" spans="2:17" x14ac:dyDescent="0.25">
      <c r="B155" s="36">
        <v>45081</v>
      </c>
      <c r="C155">
        <v>1714.15</v>
      </c>
      <c r="D155" s="11">
        <f t="shared" si="4"/>
        <v>5.6614843062481324E-3</v>
      </c>
      <c r="F155" s="45">
        <v>18563.400000000001</v>
      </c>
      <c r="G155" s="11">
        <f t="shared" si="5"/>
        <v>1.5808698561032841E-3</v>
      </c>
    </row>
    <row r="156" spans="2:17" x14ac:dyDescent="0.25">
      <c r="B156" s="36">
        <v>45088</v>
      </c>
      <c r="C156">
        <v>1746.35</v>
      </c>
      <c r="D156" s="11">
        <f t="shared" si="4"/>
        <v>1.8784820464953444E-2</v>
      </c>
      <c r="F156" s="45">
        <v>18826</v>
      </c>
      <c r="G156" s="11">
        <f t="shared" si="5"/>
        <v>1.4146115474535925E-2</v>
      </c>
    </row>
    <row r="157" spans="2:17" x14ac:dyDescent="0.25">
      <c r="B157" s="36">
        <v>45095</v>
      </c>
      <c r="C157">
        <v>1677.4</v>
      </c>
      <c r="D157" s="11">
        <f t="shared" si="4"/>
        <v>-3.948234889913238E-2</v>
      </c>
      <c r="F157" s="45">
        <v>18665.5</v>
      </c>
      <c r="G157" s="11">
        <f t="shared" si="5"/>
        <v>-8.5254435355359703E-3</v>
      </c>
    </row>
    <row r="158" spans="2:17" x14ac:dyDescent="0.25">
      <c r="B158" s="36">
        <v>45102</v>
      </c>
      <c r="C158">
        <v>1685.6</v>
      </c>
      <c r="D158" s="11">
        <f t="shared" si="4"/>
        <v>4.8885179444377869E-3</v>
      </c>
      <c r="F158" s="45">
        <v>19189.05</v>
      </c>
      <c r="G158" s="11">
        <f t="shared" si="5"/>
        <v>2.8049074495727355E-2</v>
      </c>
    </row>
    <row r="159" spans="2:17" x14ac:dyDescent="0.25">
      <c r="B159" s="36">
        <v>45109</v>
      </c>
      <c r="C159">
        <v>1724</v>
      </c>
      <c r="D159" s="11">
        <f t="shared" si="4"/>
        <v>2.2781205505458146E-2</v>
      </c>
      <c r="F159" s="45">
        <v>19331.8</v>
      </c>
      <c r="G159" s="11">
        <f t="shared" si="5"/>
        <v>7.4391384669902916E-3</v>
      </c>
    </row>
    <row r="160" spans="2:17" x14ac:dyDescent="0.25">
      <c r="B160" s="36">
        <v>45116</v>
      </c>
      <c r="C160">
        <v>1649.75</v>
      </c>
      <c r="D160" s="11">
        <f t="shared" si="4"/>
        <v>-4.306844547563804E-2</v>
      </c>
      <c r="F160" s="45">
        <v>19564.5</v>
      </c>
      <c r="G160" s="11">
        <f t="shared" si="5"/>
        <v>1.2037161567986399E-2</v>
      </c>
    </row>
    <row r="161" spans="2:7" x14ac:dyDescent="0.25">
      <c r="B161" s="36">
        <v>45123</v>
      </c>
      <c r="C161">
        <v>1632.7</v>
      </c>
      <c r="D161" s="11">
        <f t="shared" si="4"/>
        <v>-1.0334899227155581E-2</v>
      </c>
      <c r="F161" s="45">
        <v>19745</v>
      </c>
      <c r="G161" s="11">
        <f t="shared" si="5"/>
        <v>9.225893838329613E-3</v>
      </c>
    </row>
    <row r="162" spans="2:7" x14ac:dyDescent="0.25">
      <c r="B162" s="36">
        <v>45130</v>
      </c>
      <c r="C162">
        <v>2073</v>
      </c>
      <c r="D162" s="11">
        <f t="shared" si="4"/>
        <v>0.26967599681509147</v>
      </c>
      <c r="F162" s="45">
        <v>19646.05</v>
      </c>
      <c r="G162" s="11">
        <f t="shared" si="5"/>
        <v>-5.0113952899468739E-3</v>
      </c>
    </row>
    <row r="163" spans="2:7" x14ac:dyDescent="0.25">
      <c r="B163" s="36">
        <v>45137</v>
      </c>
      <c r="C163">
        <v>2003</v>
      </c>
      <c r="D163" s="11">
        <f t="shared" si="4"/>
        <v>-3.3767486734201602E-2</v>
      </c>
      <c r="F163" s="45">
        <v>19517</v>
      </c>
      <c r="G163" s="11">
        <f t="shared" si="5"/>
        <v>-6.568750461288575E-3</v>
      </c>
    </row>
    <row r="164" spans="2:7" x14ac:dyDescent="0.25">
      <c r="B164" s="36">
        <v>45144</v>
      </c>
      <c r="C164">
        <v>2147.35</v>
      </c>
      <c r="D164" s="11">
        <f t="shared" si="4"/>
        <v>7.2066899650524263E-2</v>
      </c>
      <c r="F164" s="45">
        <v>19428.3</v>
      </c>
      <c r="G164" s="11">
        <f t="shared" si="5"/>
        <v>-4.5447558538710409E-3</v>
      </c>
    </row>
    <row r="165" spans="2:7" x14ac:dyDescent="0.25">
      <c r="B165" s="36">
        <v>45151</v>
      </c>
      <c r="C165">
        <v>2195.9499999999998</v>
      </c>
      <c r="D165" s="11">
        <f t="shared" si="4"/>
        <v>2.2632547092928501E-2</v>
      </c>
      <c r="F165" s="45">
        <v>19310.150000000001</v>
      </c>
      <c r="G165" s="11">
        <f t="shared" si="5"/>
        <v>-6.0813349598265454E-3</v>
      </c>
    </row>
    <row r="166" spans="2:7" x14ac:dyDescent="0.25">
      <c r="B166" s="36">
        <v>45158</v>
      </c>
      <c r="C166">
        <v>2156.5</v>
      </c>
      <c r="D166" s="11">
        <f t="shared" si="4"/>
        <v>-1.7964889910972337E-2</v>
      </c>
      <c r="F166" s="45">
        <v>19265.8</v>
      </c>
      <c r="G166" s="11">
        <f t="shared" si="5"/>
        <v>-2.2967196008317758E-3</v>
      </c>
    </row>
    <row r="167" spans="2:7" x14ac:dyDescent="0.25">
      <c r="B167" s="36">
        <v>45165</v>
      </c>
      <c r="C167">
        <v>2132.35</v>
      </c>
      <c r="D167" s="11">
        <f t="shared" si="4"/>
        <v>-1.1198701599814509E-2</v>
      </c>
      <c r="F167" s="45">
        <v>19435.3</v>
      </c>
      <c r="G167" s="11">
        <f t="shared" si="5"/>
        <v>8.7979736112697715E-3</v>
      </c>
    </row>
    <row r="168" spans="2:7" x14ac:dyDescent="0.25">
      <c r="B168" s="36">
        <v>45172</v>
      </c>
      <c r="C168">
        <v>2123.3000000000002</v>
      </c>
      <c r="D168" s="11">
        <f t="shared" si="4"/>
        <v>-4.2441437850258001E-3</v>
      </c>
      <c r="F168" s="45">
        <v>19819.95</v>
      </c>
      <c r="G168" s="11">
        <f t="shared" si="5"/>
        <v>1.9791307569216876E-2</v>
      </c>
    </row>
    <row r="169" spans="2:7" x14ac:dyDescent="0.25">
      <c r="B169" s="36">
        <v>45179</v>
      </c>
      <c r="C169">
        <v>2069.9</v>
      </c>
      <c r="D169" s="11">
        <f t="shared" si="4"/>
        <v>-2.5149531389817792E-2</v>
      </c>
      <c r="F169" s="45">
        <v>20192.349999999999</v>
      </c>
      <c r="G169" s="11">
        <f t="shared" si="5"/>
        <v>1.8789149316723597E-2</v>
      </c>
    </row>
    <row r="170" spans="2:7" x14ac:dyDescent="0.25">
      <c r="B170" s="36">
        <v>45186</v>
      </c>
      <c r="C170">
        <v>2053.4499999999998</v>
      </c>
      <c r="D170" s="11">
        <f t="shared" si="4"/>
        <v>-7.9472438282044422E-3</v>
      </c>
      <c r="F170" s="45">
        <v>19674.25</v>
      </c>
      <c r="G170" s="11">
        <f t="shared" si="5"/>
        <v>-2.5658231954180599E-2</v>
      </c>
    </row>
    <row r="171" spans="2:7" x14ac:dyDescent="0.25">
      <c r="B171" s="36">
        <v>45193</v>
      </c>
      <c r="C171">
        <v>2177.5</v>
      </c>
      <c r="D171" s="11">
        <f t="shared" si="4"/>
        <v>6.0410528622562021E-2</v>
      </c>
      <c r="F171" s="45">
        <v>19638.3</v>
      </c>
      <c r="G171" s="11">
        <f t="shared" si="5"/>
        <v>-1.8272615220402688E-3</v>
      </c>
    </row>
    <row r="172" spans="2:7" x14ac:dyDescent="0.25">
      <c r="B172" s="36">
        <v>45200</v>
      </c>
      <c r="C172">
        <v>2117.8000000000002</v>
      </c>
      <c r="D172" s="11">
        <f t="shared" si="4"/>
        <v>-2.7416762342135415E-2</v>
      </c>
      <c r="F172" s="45">
        <v>19653.5</v>
      </c>
      <c r="G172" s="11">
        <f t="shared" si="5"/>
        <v>7.7399774929598486E-4</v>
      </c>
    </row>
    <row r="173" spans="2:7" x14ac:dyDescent="0.25">
      <c r="B173" s="36">
        <v>45207</v>
      </c>
      <c r="C173">
        <v>2212.9499999999998</v>
      </c>
      <c r="D173" s="11">
        <f t="shared" si="4"/>
        <v>4.4928699593917987E-2</v>
      </c>
      <c r="F173" s="45">
        <v>19751.05</v>
      </c>
      <c r="G173" s="11">
        <f t="shared" si="5"/>
        <v>4.9634925076957881E-3</v>
      </c>
    </row>
    <row r="174" spans="2:7" x14ac:dyDescent="0.25">
      <c r="B174" s="36">
        <v>45214</v>
      </c>
      <c r="C174">
        <v>2230.0500000000002</v>
      </c>
      <c r="D174" s="11">
        <f t="shared" si="4"/>
        <v>7.7272419168983308E-3</v>
      </c>
      <c r="F174" s="45">
        <v>19542.650000000001</v>
      </c>
      <c r="G174" s="11">
        <f t="shared" si="5"/>
        <v>-1.0551337776978809E-2</v>
      </c>
    </row>
    <row r="175" spans="2:7" x14ac:dyDescent="0.25">
      <c r="B175" s="36">
        <v>45221</v>
      </c>
      <c r="C175">
        <v>2165.4499999999998</v>
      </c>
      <c r="D175" s="11">
        <f t="shared" si="4"/>
        <v>-2.8967960359633338E-2</v>
      </c>
      <c r="F175" s="45">
        <v>19047.25</v>
      </c>
      <c r="G175" s="11">
        <f t="shared" si="5"/>
        <v>-2.5349683896503383E-2</v>
      </c>
    </row>
    <row r="176" spans="2:7" x14ac:dyDescent="0.25">
      <c r="B176" s="36">
        <v>45228</v>
      </c>
      <c r="C176">
        <v>2149</v>
      </c>
      <c r="D176" s="11">
        <f t="shared" si="4"/>
        <v>-7.5965734604815927E-3</v>
      </c>
      <c r="F176" s="45">
        <v>19230.599999999999</v>
      </c>
      <c r="G176" s="11">
        <f t="shared" si="5"/>
        <v>9.6260615049414966E-3</v>
      </c>
    </row>
    <row r="177" spans="2:7" x14ac:dyDescent="0.25">
      <c r="B177" s="36">
        <v>45235</v>
      </c>
      <c r="C177">
        <v>2079.35</v>
      </c>
      <c r="D177" s="11">
        <f t="shared" si="4"/>
        <v>-3.2410423452768788E-2</v>
      </c>
      <c r="F177" s="45">
        <v>19425.349999999999</v>
      </c>
      <c r="G177" s="11">
        <f t="shared" si="5"/>
        <v>1.0127089118384225E-2</v>
      </c>
    </row>
    <row r="178" spans="2:7" x14ac:dyDescent="0.25">
      <c r="B178" s="36">
        <v>45242</v>
      </c>
      <c r="C178">
        <v>2087.5</v>
      </c>
      <c r="D178" s="11">
        <f t="shared" si="4"/>
        <v>3.9194940726670069E-3</v>
      </c>
      <c r="F178" s="45">
        <v>19731.8</v>
      </c>
      <c r="G178" s="11">
        <f t="shared" si="5"/>
        <v>1.5775777527818002E-2</v>
      </c>
    </row>
    <row r="179" spans="2:7" x14ac:dyDescent="0.25">
      <c r="B179" s="36">
        <v>45249</v>
      </c>
      <c r="C179">
        <v>2033.25</v>
      </c>
      <c r="D179" s="11">
        <f t="shared" si="4"/>
        <v>-2.5988023952095762E-2</v>
      </c>
      <c r="F179" s="45">
        <v>19794.7</v>
      </c>
      <c r="G179" s="11">
        <f t="shared" si="5"/>
        <v>3.1877476966115648E-3</v>
      </c>
    </row>
    <row r="180" spans="2:7" x14ac:dyDescent="0.25">
      <c r="B180" s="36">
        <v>45256</v>
      </c>
      <c r="C180">
        <v>2074.35</v>
      </c>
      <c r="D180" s="11">
        <f t="shared" si="4"/>
        <v>2.0213943194393069E-2</v>
      </c>
      <c r="F180" s="45">
        <v>20267.900000000001</v>
      </c>
      <c r="G180" s="11">
        <f t="shared" si="5"/>
        <v>2.3905388816198414E-2</v>
      </c>
    </row>
    <row r="181" spans="2:7" x14ac:dyDescent="0.25">
      <c r="B181" s="36">
        <v>45263</v>
      </c>
      <c r="C181">
        <v>2058.65</v>
      </c>
      <c r="D181" s="11">
        <f t="shared" si="4"/>
        <v>-7.568635958251857E-3</v>
      </c>
      <c r="F181" s="45">
        <v>20969.400000000001</v>
      </c>
      <c r="G181" s="11">
        <f t="shared" si="5"/>
        <v>3.4611380557433069E-2</v>
      </c>
    </row>
    <row r="182" spans="2:7" x14ac:dyDescent="0.25">
      <c r="B182" s="36">
        <v>45270</v>
      </c>
      <c r="C182">
        <v>2085.0500000000002</v>
      </c>
      <c r="D182" s="11">
        <f t="shared" si="4"/>
        <v>1.282393801763293E-2</v>
      </c>
      <c r="F182" s="45">
        <v>21456.65</v>
      </c>
      <c r="G182" s="11">
        <f t="shared" si="5"/>
        <v>2.3236239472755438E-2</v>
      </c>
    </row>
    <row r="183" spans="2:7" x14ac:dyDescent="0.25">
      <c r="B183" s="36">
        <v>45277</v>
      </c>
      <c r="C183">
        <v>2098.0500000000002</v>
      </c>
      <c r="D183" s="11">
        <f t="shared" si="4"/>
        <v>6.2348624733219449E-3</v>
      </c>
      <c r="F183" s="45">
        <v>21349.4</v>
      </c>
      <c r="G183" s="11">
        <f t="shared" si="5"/>
        <v>-4.9984503638732525E-3</v>
      </c>
    </row>
    <row r="184" spans="2:7" x14ac:dyDescent="0.25">
      <c r="B184" s="36">
        <v>45284</v>
      </c>
      <c r="C184">
        <v>2108.85</v>
      </c>
      <c r="D184" s="11">
        <f t="shared" si="4"/>
        <v>5.1476370915848335E-3</v>
      </c>
      <c r="F184" s="45">
        <v>21731.4</v>
      </c>
      <c r="G184" s="11">
        <f t="shared" si="5"/>
        <v>1.7892774504201459E-2</v>
      </c>
    </row>
    <row r="185" spans="2:7" x14ac:dyDescent="0.25">
      <c r="B185" s="36">
        <v>45291</v>
      </c>
      <c r="C185">
        <v>2216.9</v>
      </c>
      <c r="D185" s="11">
        <f t="shared" si="4"/>
        <v>5.1236455888280519E-2</v>
      </c>
      <c r="F185" s="45">
        <v>21710.799999999999</v>
      </c>
      <c r="G185" s="11">
        <f t="shared" si="5"/>
        <v>-9.479370864280412E-4</v>
      </c>
    </row>
    <row r="186" spans="2:7" x14ac:dyDescent="0.25">
      <c r="B186" s="36">
        <v>45298</v>
      </c>
      <c r="C186">
        <v>2199.1999999999998</v>
      </c>
      <c r="D186" s="11">
        <f t="shared" si="4"/>
        <v>-7.9841219721233925E-3</v>
      </c>
      <c r="F186" s="45">
        <v>21894.55</v>
      </c>
      <c r="G186" s="11">
        <f t="shared" si="5"/>
        <v>8.4635296718684749E-3</v>
      </c>
    </row>
    <row r="187" spans="2:7" x14ac:dyDescent="0.25">
      <c r="B187" s="36">
        <v>45305</v>
      </c>
      <c r="C187">
        <v>2215.8000000000002</v>
      </c>
      <c r="D187" s="11">
        <f t="shared" si="4"/>
        <v>7.5481993452166662E-3</v>
      </c>
      <c r="F187" s="45">
        <v>21622.400000000001</v>
      </c>
      <c r="G187" s="11">
        <f t="shared" si="5"/>
        <v>-1.2430033958222397E-2</v>
      </c>
    </row>
    <row r="188" spans="2:7" x14ac:dyDescent="0.25">
      <c r="B188" s="36">
        <v>45312</v>
      </c>
      <c r="C188">
        <v>2261.15</v>
      </c>
      <c r="D188" s="11">
        <f t="shared" ref="D188:D225" si="6">C188/C187-1</f>
        <v>2.0466648614495764E-2</v>
      </c>
      <c r="F188" s="45">
        <v>21352.6</v>
      </c>
      <c r="G188" s="11">
        <f t="shared" ref="G188:G225" si="7">F188/F187-1</f>
        <v>-1.2477800799171379E-2</v>
      </c>
    </row>
    <row r="189" spans="2:7" x14ac:dyDescent="0.25">
      <c r="B189" s="36">
        <v>45319</v>
      </c>
      <c r="C189">
        <v>2544.1</v>
      </c>
      <c r="D189" s="11">
        <f t="shared" si="6"/>
        <v>0.12513543993100851</v>
      </c>
      <c r="F189" s="45">
        <v>21853.8</v>
      </c>
      <c r="G189" s="11">
        <f t="shared" si="7"/>
        <v>2.3472551352060167E-2</v>
      </c>
    </row>
    <row r="190" spans="2:7" x14ac:dyDescent="0.25">
      <c r="B190" s="36">
        <v>45326</v>
      </c>
      <c r="C190">
        <v>2374.6</v>
      </c>
      <c r="D190" s="11">
        <f t="shared" si="6"/>
        <v>-6.6624739593569404E-2</v>
      </c>
      <c r="F190" s="45">
        <v>21782.5</v>
      </c>
      <c r="G190" s="11">
        <f t="shared" si="7"/>
        <v>-3.2625904876955047E-3</v>
      </c>
    </row>
    <row r="191" spans="2:7" x14ac:dyDescent="0.25">
      <c r="B191" s="36">
        <v>45333</v>
      </c>
      <c r="C191">
        <v>2546.25</v>
      </c>
      <c r="D191" s="11">
        <f t="shared" si="6"/>
        <v>7.2285858670934067E-2</v>
      </c>
      <c r="F191" s="45">
        <v>22040.7</v>
      </c>
      <c r="G191" s="11">
        <f t="shared" si="7"/>
        <v>1.1853552163433978E-2</v>
      </c>
    </row>
    <row r="192" spans="2:7" x14ac:dyDescent="0.25">
      <c r="B192" s="36">
        <v>45340</v>
      </c>
      <c r="C192">
        <v>2748.6</v>
      </c>
      <c r="D192" s="11">
        <f t="shared" si="6"/>
        <v>7.9469808541973386E-2</v>
      </c>
      <c r="F192" s="45">
        <v>22212.7</v>
      </c>
      <c r="G192" s="11">
        <f t="shared" si="7"/>
        <v>7.8037448901351336E-3</v>
      </c>
    </row>
    <row r="193" spans="2:7" x14ac:dyDescent="0.25">
      <c r="B193" s="36">
        <v>45347</v>
      </c>
      <c r="C193">
        <v>2962.5</v>
      </c>
      <c r="D193" s="11">
        <f t="shared" si="6"/>
        <v>7.7821436367605301E-2</v>
      </c>
      <c r="F193" s="45">
        <v>22338.75</v>
      </c>
      <c r="G193" s="11">
        <f t="shared" si="7"/>
        <v>5.6746816010659895E-3</v>
      </c>
    </row>
    <row r="194" spans="2:7" x14ac:dyDescent="0.25">
      <c r="B194" s="36">
        <v>45354</v>
      </c>
      <c r="C194">
        <v>3298.1</v>
      </c>
      <c r="D194" s="11">
        <f t="shared" si="6"/>
        <v>0.113282700421941</v>
      </c>
      <c r="F194" s="45">
        <v>22493.55</v>
      </c>
      <c r="G194" s="11">
        <f t="shared" si="7"/>
        <v>6.929662581836471E-3</v>
      </c>
    </row>
    <row r="195" spans="2:7" x14ac:dyDescent="0.25">
      <c r="B195" s="36">
        <v>45361</v>
      </c>
      <c r="C195">
        <v>2942.9</v>
      </c>
      <c r="D195" s="11">
        <f t="shared" si="6"/>
        <v>-0.10769837178981834</v>
      </c>
      <c r="F195" s="45">
        <v>22023.35</v>
      </c>
      <c r="G195" s="11">
        <f t="shared" si="7"/>
        <v>-2.0903770191899484E-2</v>
      </c>
    </row>
    <row r="196" spans="2:7" x14ac:dyDescent="0.25">
      <c r="B196" s="36">
        <v>45368</v>
      </c>
      <c r="C196">
        <v>3128.3</v>
      </c>
      <c r="D196" s="11">
        <f t="shared" si="6"/>
        <v>6.2999082537632978E-2</v>
      </c>
      <c r="F196" s="45">
        <v>22096.75</v>
      </c>
      <c r="G196" s="11">
        <f t="shared" si="7"/>
        <v>3.3328262957270649E-3</v>
      </c>
    </row>
    <row r="197" spans="2:7" x14ac:dyDescent="0.25">
      <c r="B197" s="36">
        <v>45375</v>
      </c>
      <c r="C197">
        <v>3089.2</v>
      </c>
      <c r="D197" s="11">
        <f t="shared" si="6"/>
        <v>-1.2498801265863335E-2</v>
      </c>
      <c r="F197" s="45">
        <v>22326.9</v>
      </c>
      <c r="G197" s="11">
        <f t="shared" si="7"/>
        <v>1.0415558849152129E-2</v>
      </c>
    </row>
    <row r="198" spans="2:7" x14ac:dyDescent="0.25">
      <c r="B198" s="36">
        <v>45382</v>
      </c>
      <c r="C198">
        <v>3198.45</v>
      </c>
      <c r="D198" s="11">
        <f t="shared" si="6"/>
        <v>3.5365143079114425E-2</v>
      </c>
      <c r="F198" s="45">
        <v>22513.7</v>
      </c>
      <c r="G198" s="11">
        <f t="shared" si="7"/>
        <v>8.3665891816597782E-3</v>
      </c>
    </row>
    <row r="199" spans="2:7" x14ac:dyDescent="0.25">
      <c r="B199" s="36">
        <v>45389</v>
      </c>
      <c r="C199">
        <v>3048.05</v>
      </c>
      <c r="D199" s="11">
        <f t="shared" si="6"/>
        <v>-4.7022776657443366E-2</v>
      </c>
      <c r="F199" s="45">
        <v>22519.4</v>
      </c>
      <c r="G199" s="11">
        <f t="shared" si="7"/>
        <v>2.5317917534661838E-4</v>
      </c>
    </row>
    <row r="200" spans="2:7" x14ac:dyDescent="0.25">
      <c r="B200" s="36">
        <v>45396</v>
      </c>
      <c r="C200">
        <v>3058.7</v>
      </c>
      <c r="D200" s="11">
        <f t="shared" si="6"/>
        <v>3.4940371713061413E-3</v>
      </c>
      <c r="F200" s="45">
        <v>22147</v>
      </c>
      <c r="G200" s="11">
        <f t="shared" si="7"/>
        <v>-1.6536852669254087E-2</v>
      </c>
    </row>
    <row r="201" spans="2:7" x14ac:dyDescent="0.25">
      <c r="B201" s="36">
        <v>45403</v>
      </c>
      <c r="C201">
        <v>3312.5</v>
      </c>
      <c r="D201" s="11">
        <f t="shared" si="6"/>
        <v>8.2976427894203564E-2</v>
      </c>
      <c r="F201" s="45">
        <v>22419.95</v>
      </c>
      <c r="G201" s="11">
        <f t="shared" si="7"/>
        <v>1.2324468325281002E-2</v>
      </c>
    </row>
    <row r="202" spans="2:7" x14ac:dyDescent="0.25">
      <c r="B202" s="36">
        <v>45410</v>
      </c>
      <c r="C202">
        <v>3388.2</v>
      </c>
      <c r="D202" s="11">
        <f t="shared" si="6"/>
        <v>2.285283018867923E-2</v>
      </c>
      <c r="F202" s="45">
        <v>22475.85</v>
      </c>
      <c r="G202" s="11">
        <f t="shared" si="7"/>
        <v>2.4933151055197555E-3</v>
      </c>
    </row>
    <row r="203" spans="2:7" x14ac:dyDescent="0.25">
      <c r="B203" s="36">
        <v>45417</v>
      </c>
      <c r="C203">
        <v>3396.15</v>
      </c>
      <c r="D203" s="11">
        <f t="shared" si="6"/>
        <v>2.3463786081105997E-3</v>
      </c>
      <c r="F203" s="45">
        <v>22055.200000000001</v>
      </c>
      <c r="G203" s="11">
        <f t="shared" si="7"/>
        <v>-1.8715643679771743E-2</v>
      </c>
    </row>
    <row r="204" spans="2:7" x14ac:dyDescent="0.25">
      <c r="B204" s="36">
        <v>45424</v>
      </c>
      <c r="C204">
        <v>3992.65</v>
      </c>
      <c r="D204" s="11">
        <f t="shared" si="6"/>
        <v>0.17564006301252899</v>
      </c>
      <c r="F204" s="45">
        <v>22466.1</v>
      </c>
      <c r="G204" s="11">
        <f t="shared" si="7"/>
        <v>1.8630527041241907E-2</v>
      </c>
    </row>
    <row r="205" spans="2:7" x14ac:dyDescent="0.25">
      <c r="B205" s="36">
        <v>45431</v>
      </c>
      <c r="C205">
        <v>3855.2</v>
      </c>
      <c r="D205" s="11">
        <f t="shared" si="6"/>
        <v>-3.4425757329092255E-2</v>
      </c>
      <c r="F205" s="45">
        <v>22957.1</v>
      </c>
      <c r="G205" s="11">
        <f t="shared" si="7"/>
        <v>2.1855150649200406E-2</v>
      </c>
    </row>
    <row r="206" spans="2:7" x14ac:dyDescent="0.25">
      <c r="B206" s="36">
        <v>45438</v>
      </c>
      <c r="C206">
        <v>3882.1</v>
      </c>
      <c r="D206" s="11">
        <f t="shared" si="6"/>
        <v>6.9775887113510127E-3</v>
      </c>
      <c r="F206" s="45">
        <v>22530.7</v>
      </c>
      <c r="G206" s="11">
        <f t="shared" si="7"/>
        <v>-1.8573774562117951E-2</v>
      </c>
    </row>
    <row r="207" spans="2:7" x14ac:dyDescent="0.25">
      <c r="B207" s="36">
        <v>45445</v>
      </c>
      <c r="C207">
        <v>3842.3</v>
      </c>
      <c r="D207" s="11">
        <f t="shared" si="6"/>
        <v>-1.0252183096777445E-2</v>
      </c>
      <c r="F207" s="45">
        <v>23290.15</v>
      </c>
      <c r="G207" s="11">
        <f t="shared" si="7"/>
        <v>3.3707341538434354E-2</v>
      </c>
    </row>
    <row r="208" spans="2:7" x14ac:dyDescent="0.25">
      <c r="B208" s="36">
        <v>45452</v>
      </c>
      <c r="C208">
        <v>4093.35</v>
      </c>
      <c r="D208" s="11">
        <f t="shared" si="6"/>
        <v>6.5338469146084321E-2</v>
      </c>
      <c r="F208" s="45">
        <v>23465.599999999999</v>
      </c>
      <c r="G208" s="11">
        <f t="shared" si="7"/>
        <v>7.5332275661599279E-3</v>
      </c>
    </row>
    <row r="209" spans="2:7" x14ac:dyDescent="0.25">
      <c r="B209" s="36">
        <v>45459</v>
      </c>
      <c r="C209">
        <v>4264.75</v>
      </c>
      <c r="D209" s="11">
        <f t="shared" si="6"/>
        <v>4.1872793677550257E-2</v>
      </c>
      <c r="F209" s="45">
        <v>23501.1</v>
      </c>
      <c r="G209" s="11">
        <f t="shared" si="7"/>
        <v>1.5128528569481325E-3</v>
      </c>
    </row>
    <row r="210" spans="2:7" x14ac:dyDescent="0.25">
      <c r="B210" s="36">
        <v>45466</v>
      </c>
      <c r="C210">
        <v>4124.5</v>
      </c>
      <c r="D210" s="11">
        <f t="shared" si="6"/>
        <v>-3.2885866697930699E-2</v>
      </c>
      <c r="F210" s="45">
        <v>24010.6</v>
      </c>
      <c r="G210" s="11">
        <f t="shared" si="7"/>
        <v>2.1679836262983532E-2</v>
      </c>
    </row>
    <row r="211" spans="2:7" x14ac:dyDescent="0.25">
      <c r="B211" s="36">
        <v>45473</v>
      </c>
      <c r="C211">
        <v>4333.1000000000004</v>
      </c>
      <c r="D211" s="11">
        <f t="shared" si="6"/>
        <v>5.0575827373015025E-2</v>
      </c>
      <c r="F211" s="45">
        <v>24323.85</v>
      </c>
      <c r="G211" s="11">
        <f t="shared" si="7"/>
        <v>1.3046321208133094E-2</v>
      </c>
    </row>
    <row r="212" spans="2:7" x14ac:dyDescent="0.25">
      <c r="B212" s="36">
        <v>45480</v>
      </c>
      <c r="C212">
        <v>4057.1</v>
      </c>
      <c r="D212" s="11">
        <f t="shared" si="6"/>
        <v>-6.3695737462786561E-2</v>
      </c>
      <c r="F212" s="45">
        <v>24502.15</v>
      </c>
      <c r="G212" s="11">
        <f t="shared" si="7"/>
        <v>7.3302540510651326E-3</v>
      </c>
    </row>
    <row r="213" spans="2:7" x14ac:dyDescent="0.25">
      <c r="B213" s="36">
        <v>45487</v>
      </c>
      <c r="C213">
        <v>4208.3999999999996</v>
      </c>
      <c r="D213" s="11">
        <f t="shared" si="6"/>
        <v>3.729264745754346E-2</v>
      </c>
      <c r="F213" s="45">
        <v>24530.9</v>
      </c>
      <c r="G213" s="11">
        <f t="shared" si="7"/>
        <v>1.1733664188653403E-3</v>
      </c>
    </row>
    <row r="214" spans="2:7" x14ac:dyDescent="0.25">
      <c r="B214" s="36">
        <v>45494</v>
      </c>
      <c r="C214">
        <v>4302.55</v>
      </c>
      <c r="D214" s="11">
        <f t="shared" si="6"/>
        <v>2.2371922821024848E-2</v>
      </c>
      <c r="F214" s="45">
        <v>24834.85</v>
      </c>
      <c r="G214" s="11">
        <f t="shared" si="7"/>
        <v>1.2390495252925682E-2</v>
      </c>
    </row>
    <row r="215" spans="2:7" x14ac:dyDescent="0.25">
      <c r="B215" s="36">
        <v>45501</v>
      </c>
      <c r="C215">
        <v>4183.1499999999996</v>
      </c>
      <c r="D215" s="11">
        <f t="shared" si="6"/>
        <v>-2.7750984881058982E-2</v>
      </c>
      <c r="F215" s="45">
        <v>24717.7</v>
      </c>
      <c r="G215" s="11">
        <f t="shared" si="7"/>
        <v>-4.7171615693268887E-3</v>
      </c>
    </row>
    <row r="216" spans="2:7" x14ac:dyDescent="0.25">
      <c r="B216" s="36">
        <v>45508</v>
      </c>
      <c r="C216">
        <v>4430.05</v>
      </c>
      <c r="D216" s="11">
        <f t="shared" si="6"/>
        <v>5.9022506962456589E-2</v>
      </c>
      <c r="F216" s="45">
        <v>24367.5</v>
      </c>
      <c r="G216" s="11">
        <f t="shared" si="7"/>
        <v>-1.4167984885325113E-2</v>
      </c>
    </row>
    <row r="217" spans="2:7" x14ac:dyDescent="0.25">
      <c r="B217" s="36">
        <v>45515</v>
      </c>
      <c r="C217">
        <v>4535.5</v>
      </c>
      <c r="D217" s="11">
        <f t="shared" si="6"/>
        <v>2.3803343077391848E-2</v>
      </c>
      <c r="F217" s="45">
        <v>24541.15</v>
      </c>
      <c r="G217" s="11">
        <f t="shared" si="7"/>
        <v>7.1262952703396998E-3</v>
      </c>
    </row>
    <row r="218" spans="2:7" x14ac:dyDescent="0.25">
      <c r="B218" s="36">
        <v>45522</v>
      </c>
      <c r="C218">
        <v>5402.35</v>
      </c>
      <c r="D218" s="11">
        <f t="shared" si="6"/>
        <v>0.19112556498732225</v>
      </c>
      <c r="F218" s="45">
        <v>24823.15</v>
      </c>
      <c r="G218" s="11">
        <f t="shared" si="7"/>
        <v>1.1490904052988471E-2</v>
      </c>
    </row>
    <row r="219" spans="2:7" x14ac:dyDescent="0.25">
      <c r="B219" s="36">
        <v>45529</v>
      </c>
      <c r="C219">
        <v>6508.4</v>
      </c>
      <c r="D219" s="11">
        <f t="shared" si="6"/>
        <v>0.20473497644543559</v>
      </c>
      <c r="F219" s="45">
        <v>25235.9</v>
      </c>
      <c r="G219" s="11">
        <f t="shared" si="7"/>
        <v>1.6627623810837822E-2</v>
      </c>
    </row>
    <row r="220" spans="2:7" x14ac:dyDescent="0.25">
      <c r="B220" s="36">
        <v>45536</v>
      </c>
      <c r="C220">
        <v>7205.85</v>
      </c>
      <c r="D220" s="11">
        <f t="shared" si="6"/>
        <v>0.10716151435068544</v>
      </c>
      <c r="F220" s="45">
        <v>24852.15</v>
      </c>
      <c r="G220" s="11">
        <f t="shared" si="7"/>
        <v>-1.5206511358818231E-2</v>
      </c>
    </row>
    <row r="221" spans="2:7" x14ac:dyDescent="0.25">
      <c r="B221" s="36">
        <v>45543</v>
      </c>
      <c r="C221">
        <v>7316.8</v>
      </c>
      <c r="D221" s="11">
        <f t="shared" si="6"/>
        <v>1.539721198748234E-2</v>
      </c>
      <c r="F221" s="45">
        <v>25356.5</v>
      </c>
      <c r="G221" s="11">
        <f t="shared" si="7"/>
        <v>2.0294018827344829E-2</v>
      </c>
    </row>
    <row r="222" spans="2:7" x14ac:dyDescent="0.25">
      <c r="B222" s="36">
        <v>45550</v>
      </c>
      <c r="C222">
        <v>7598.15</v>
      </c>
      <c r="D222" s="11">
        <f t="shared" si="6"/>
        <v>3.845260223048319E-2</v>
      </c>
      <c r="F222" s="45">
        <v>25790.95</v>
      </c>
      <c r="G222" s="11">
        <f t="shared" si="7"/>
        <v>1.7133673811448702E-2</v>
      </c>
    </row>
    <row r="223" spans="2:7" x14ac:dyDescent="0.25">
      <c r="B223" s="36">
        <v>45557</v>
      </c>
      <c r="C223">
        <v>6998.05</v>
      </c>
      <c r="D223" s="11">
        <f t="shared" si="6"/>
        <v>-7.8979751650072649E-2</v>
      </c>
      <c r="F223" s="45">
        <v>26178.95</v>
      </c>
      <c r="G223" s="11">
        <f t="shared" si="7"/>
        <v>1.5044036764834123E-2</v>
      </c>
    </row>
    <row r="224" spans="2:7" x14ac:dyDescent="0.25">
      <c r="B224" s="36">
        <v>45564</v>
      </c>
      <c r="C224">
        <v>6627.4</v>
      </c>
      <c r="D224" s="11">
        <f t="shared" si="6"/>
        <v>-5.2964754467315966E-2</v>
      </c>
      <c r="F224" s="45">
        <v>25014.6</v>
      </c>
      <c r="G224" s="11">
        <f t="shared" si="7"/>
        <v>-4.4476573735768743E-2</v>
      </c>
    </row>
    <row r="225" spans="1:13" x14ac:dyDescent="0.25">
      <c r="B225" s="36">
        <v>45571</v>
      </c>
      <c r="C225">
        <v>7005.75</v>
      </c>
      <c r="D225" s="11">
        <f t="shared" si="6"/>
        <v>5.7088752753719385E-2</v>
      </c>
      <c r="F225" s="45">
        <v>24964.25</v>
      </c>
      <c r="G225" s="11">
        <f t="shared" si="7"/>
        <v>-2.0128245104857889E-3</v>
      </c>
    </row>
    <row r="227" spans="1:13" x14ac:dyDescent="0.25">
      <c r="A227" t="s">
        <v>94</v>
      </c>
      <c r="B227" s="181" t="s">
        <v>328</v>
      </c>
    </row>
    <row r="228" spans="1:13" x14ac:dyDescent="0.25">
      <c r="B228" s="181"/>
    </row>
    <row r="229" spans="1:13" x14ac:dyDescent="0.25">
      <c r="B229" s="185" t="s">
        <v>330</v>
      </c>
      <c r="C229" s="185"/>
      <c r="D229" s="185"/>
      <c r="F229" s="185" t="s">
        <v>43</v>
      </c>
      <c r="G229" s="185"/>
      <c r="I229" s="185" t="s">
        <v>72</v>
      </c>
      <c r="J229" s="185"/>
    </row>
    <row r="231" spans="1:13" x14ac:dyDescent="0.25">
      <c r="B231" s="34" t="s">
        <v>40</v>
      </c>
      <c r="C231" s="35" t="s">
        <v>41</v>
      </c>
      <c r="D231" s="35" t="s">
        <v>42</v>
      </c>
      <c r="F231" s="35" t="s">
        <v>41</v>
      </c>
      <c r="G231" s="35" t="s">
        <v>42</v>
      </c>
      <c r="I231" s="42" t="s">
        <v>73</v>
      </c>
      <c r="J231" s="13">
        <f>M234</f>
        <v>0.2169388208348059</v>
      </c>
      <c r="L231" t="s">
        <v>44</v>
      </c>
      <c r="M231" s="13">
        <f>SLOPE(D233:D335,G233:G335)</f>
        <v>0.21693882083480578</v>
      </c>
    </row>
    <row r="232" spans="1:13" x14ac:dyDescent="0.25">
      <c r="B232" s="182">
        <v>44850</v>
      </c>
      <c r="C232">
        <v>323.88</v>
      </c>
      <c r="F232" s="45">
        <v>17576.3</v>
      </c>
      <c r="I232" t="s">
        <v>74</v>
      </c>
      <c r="J232" s="20">
        <v>0.75</v>
      </c>
      <c r="L232" t="s">
        <v>45</v>
      </c>
      <c r="M232" s="13">
        <f>_xlfn.COVARIANCE.S(D233:D335,G233:G335)/_xlfn.VAR.S(G233:G335)</f>
        <v>0.21693882083480567</v>
      </c>
    </row>
    <row r="233" spans="1:13" x14ac:dyDescent="0.25">
      <c r="B233" s="182">
        <v>44857</v>
      </c>
      <c r="C233">
        <v>319.75</v>
      </c>
      <c r="D233" s="11">
        <f>C233/C232-1</f>
        <v>-1.2751636408546374E-2</v>
      </c>
      <c r="F233" s="45">
        <v>17786.8</v>
      </c>
      <c r="G233" s="11">
        <f>F233/F232-1</f>
        <v>1.1976354522851729E-2</v>
      </c>
      <c r="M233" s="13"/>
    </row>
    <row r="234" spans="1:13" x14ac:dyDescent="0.25">
      <c r="B234" s="182">
        <v>44864</v>
      </c>
      <c r="C234">
        <v>326.42</v>
      </c>
      <c r="D234" s="11">
        <f t="shared" ref="D234:D297" si="8">C234/C233-1</f>
        <v>2.0860046911649777E-2</v>
      </c>
      <c r="F234" s="45">
        <v>18117.150000000001</v>
      </c>
      <c r="G234" s="11">
        <f t="shared" ref="G234:G297" si="9">F234/F233-1</f>
        <v>1.8572761823374861E-2</v>
      </c>
      <c r="I234" t="s">
        <v>75</v>
      </c>
      <c r="J234">
        <v>1</v>
      </c>
      <c r="L234" t="s">
        <v>46</v>
      </c>
      <c r="M234" s="13">
        <f>J257</f>
        <v>0.2169388208348059</v>
      </c>
    </row>
    <row r="235" spans="1:13" x14ac:dyDescent="0.25">
      <c r="B235" s="182">
        <v>44871</v>
      </c>
      <c r="C235">
        <v>320.51</v>
      </c>
      <c r="D235" s="11">
        <f t="shared" si="8"/>
        <v>-1.8105508240916723E-2</v>
      </c>
      <c r="F235" s="45">
        <v>18349.7</v>
      </c>
      <c r="G235" s="11">
        <f t="shared" si="9"/>
        <v>1.2835904101914375E-2</v>
      </c>
      <c r="I235" t="s">
        <v>76</v>
      </c>
      <c r="J235" s="20">
        <v>0.25</v>
      </c>
    </row>
    <row r="236" spans="1:13" x14ac:dyDescent="0.25">
      <c r="B236" s="182">
        <v>44878</v>
      </c>
      <c r="C236">
        <v>324.27</v>
      </c>
      <c r="D236" s="11">
        <f t="shared" si="8"/>
        <v>1.1731303235468449E-2</v>
      </c>
      <c r="F236" s="45">
        <v>18307.650000000001</v>
      </c>
      <c r="G236" s="11">
        <f t="shared" si="9"/>
        <v>-2.2915905982113793E-3</v>
      </c>
    </row>
    <row r="237" spans="1:13" x14ac:dyDescent="0.25">
      <c r="B237" s="182">
        <v>44885</v>
      </c>
      <c r="C237">
        <v>333.51</v>
      </c>
      <c r="D237" s="11">
        <f t="shared" si="8"/>
        <v>2.8494772874456453E-2</v>
      </c>
      <c r="F237" s="45">
        <v>18512.75</v>
      </c>
      <c r="G237" s="11">
        <f t="shared" si="9"/>
        <v>1.1202967065680136E-2</v>
      </c>
      <c r="I237" s="43" t="s">
        <v>77</v>
      </c>
      <c r="J237" s="44">
        <f>(Levered_Raw_Beta*Raw_Beta_Weight)+(Market_Beta*Market_Beta_Weight)</f>
        <v>0.71277536459335122</v>
      </c>
    </row>
    <row r="238" spans="1:13" x14ac:dyDescent="0.25">
      <c r="B238" s="182">
        <v>44892</v>
      </c>
      <c r="C238">
        <v>318.99</v>
      </c>
      <c r="D238" s="11">
        <f t="shared" si="8"/>
        <v>-4.3536925429522255E-2</v>
      </c>
      <c r="F238" s="45">
        <v>18696.099999999999</v>
      </c>
      <c r="G238" s="11">
        <f t="shared" si="9"/>
        <v>9.9039850913558158E-3</v>
      </c>
    </row>
    <row r="239" spans="1:13" x14ac:dyDescent="0.25">
      <c r="B239" s="182">
        <v>44899</v>
      </c>
      <c r="C239">
        <v>321.69</v>
      </c>
      <c r="D239" s="11">
        <f t="shared" si="8"/>
        <v>8.4642151791591846E-3</v>
      </c>
      <c r="F239" s="45">
        <v>18496.599999999999</v>
      </c>
      <c r="G239" s="11">
        <f t="shared" si="9"/>
        <v>-1.0670674632677457E-2</v>
      </c>
    </row>
    <row r="240" spans="1:13" x14ac:dyDescent="0.25">
      <c r="B240" s="182">
        <v>44906</v>
      </c>
      <c r="C240">
        <v>313.3</v>
      </c>
      <c r="D240" s="11">
        <f t="shared" si="8"/>
        <v>-2.6081009667692445E-2</v>
      </c>
      <c r="F240" s="45">
        <v>18269</v>
      </c>
      <c r="G240" s="11">
        <f t="shared" si="9"/>
        <v>-1.2304964155574472E-2</v>
      </c>
      <c r="I240" t="s">
        <v>47</v>
      </c>
    </row>
    <row r="241" spans="2:17" ht="15.75" thickBot="1" x14ac:dyDescent="0.3">
      <c r="B241" s="182">
        <v>44913</v>
      </c>
      <c r="C241">
        <v>295.60000000000002</v>
      </c>
      <c r="D241" s="11">
        <f t="shared" si="8"/>
        <v>-5.6495371848068854E-2</v>
      </c>
      <c r="F241" s="45">
        <v>17806.8</v>
      </c>
      <c r="G241" s="11">
        <f t="shared" si="9"/>
        <v>-2.5299687996058973E-2</v>
      </c>
    </row>
    <row r="242" spans="2:17" x14ac:dyDescent="0.25">
      <c r="B242" s="182">
        <v>44920</v>
      </c>
      <c r="C242">
        <v>300.69</v>
      </c>
      <c r="D242" s="11">
        <f t="shared" si="8"/>
        <v>1.7219215155615641E-2</v>
      </c>
      <c r="F242" s="45">
        <v>18105.3</v>
      </c>
      <c r="G242" s="11">
        <f t="shared" si="9"/>
        <v>1.6763258979715534E-2</v>
      </c>
      <c r="I242" s="41" t="s">
        <v>48</v>
      </c>
      <c r="J242" s="41"/>
    </row>
    <row r="243" spans="2:17" x14ac:dyDescent="0.25">
      <c r="B243" s="182">
        <v>44927</v>
      </c>
      <c r="C243">
        <v>294.7</v>
      </c>
      <c r="D243" s="11">
        <f t="shared" si="8"/>
        <v>-1.9920848714623074E-2</v>
      </c>
      <c r="F243" s="45">
        <v>17859.45</v>
      </c>
      <c r="G243" s="11">
        <f t="shared" si="9"/>
        <v>-1.3578896787128536E-2</v>
      </c>
      <c r="I243" s="38" t="s">
        <v>49</v>
      </c>
      <c r="J243" s="38">
        <v>7.478388577416549E-2</v>
      </c>
    </row>
    <row r="244" spans="2:17" x14ac:dyDescent="0.25">
      <c r="B244" s="182">
        <v>44934</v>
      </c>
      <c r="C244">
        <v>287.10000000000002</v>
      </c>
      <c r="D244" s="11">
        <f t="shared" si="8"/>
        <v>-2.5788937902952003E-2</v>
      </c>
      <c r="F244" s="45">
        <v>17956.599999999999</v>
      </c>
      <c r="G244" s="11">
        <f t="shared" si="9"/>
        <v>5.4396971911228054E-3</v>
      </c>
      <c r="I244" s="38" t="s">
        <v>50</v>
      </c>
      <c r="J244" s="38">
        <v>5.5926295714834309E-3</v>
      </c>
    </row>
    <row r="245" spans="2:17" x14ac:dyDescent="0.25">
      <c r="B245" s="182">
        <v>44941</v>
      </c>
      <c r="C245">
        <v>287.17</v>
      </c>
      <c r="D245" s="11">
        <f t="shared" si="8"/>
        <v>2.4381748519686219E-4</v>
      </c>
      <c r="F245" s="45">
        <v>18027.650000000001</v>
      </c>
      <c r="G245" s="11">
        <f t="shared" si="9"/>
        <v>3.9567624160476988E-3</v>
      </c>
      <c r="I245" s="38" t="s">
        <v>51</v>
      </c>
      <c r="J245" s="38">
        <v>-4.2529879575117831E-3</v>
      </c>
    </row>
    <row r="246" spans="2:17" x14ac:dyDescent="0.25">
      <c r="B246" s="182">
        <v>44948</v>
      </c>
      <c r="C246">
        <v>277.05</v>
      </c>
      <c r="D246" s="11">
        <f t="shared" si="8"/>
        <v>-3.5240449907720128E-2</v>
      </c>
      <c r="F246" s="45">
        <v>17604.349999999999</v>
      </c>
      <c r="G246" s="11">
        <f t="shared" si="9"/>
        <v>-2.3480597859399488E-2</v>
      </c>
      <c r="I246" s="38" t="s">
        <v>52</v>
      </c>
      <c r="J246" s="38">
        <v>4.2505612912300213E-2</v>
      </c>
    </row>
    <row r="247" spans="2:17" ht="15.75" thickBot="1" x14ac:dyDescent="0.3">
      <c r="B247" s="182">
        <v>44955</v>
      </c>
      <c r="C247">
        <v>269.95</v>
      </c>
      <c r="D247" s="11">
        <f t="shared" si="8"/>
        <v>-2.5627143114961282E-2</v>
      </c>
      <c r="F247" s="45">
        <v>17854.05</v>
      </c>
      <c r="G247" s="11">
        <f t="shared" si="9"/>
        <v>1.4183994296864233E-2</v>
      </c>
      <c r="I247" s="39" t="s">
        <v>53</v>
      </c>
      <c r="J247" s="39">
        <v>103</v>
      </c>
    </row>
    <row r="248" spans="2:17" x14ac:dyDescent="0.25">
      <c r="B248" s="182">
        <v>44962</v>
      </c>
      <c r="C248">
        <v>273.14</v>
      </c>
      <c r="D248" s="11">
        <f t="shared" si="8"/>
        <v>1.1817003148731242E-2</v>
      </c>
      <c r="F248" s="45">
        <v>17856.5</v>
      </c>
      <c r="G248" s="11">
        <f t="shared" si="9"/>
        <v>1.372237671564136E-4</v>
      </c>
    </row>
    <row r="249" spans="2:17" ht="15.75" thickBot="1" x14ac:dyDescent="0.3">
      <c r="B249" s="182">
        <v>44969</v>
      </c>
      <c r="C249">
        <v>283.10000000000002</v>
      </c>
      <c r="D249" s="11">
        <f t="shared" si="8"/>
        <v>3.6464816577579384E-2</v>
      </c>
      <c r="F249" s="45">
        <v>17944.2</v>
      </c>
      <c r="G249" s="11">
        <f t="shared" si="9"/>
        <v>4.9113768095652155E-3</v>
      </c>
      <c r="I249" t="s">
        <v>54</v>
      </c>
    </row>
    <row r="250" spans="2:17" x14ac:dyDescent="0.25">
      <c r="B250" s="182">
        <v>44976</v>
      </c>
      <c r="C250">
        <v>288.36</v>
      </c>
      <c r="D250" s="11">
        <f t="shared" si="8"/>
        <v>1.8580007064641357E-2</v>
      </c>
      <c r="F250" s="45">
        <v>17465.8</v>
      </c>
      <c r="G250" s="11">
        <f t="shared" si="9"/>
        <v>-2.6660425095574092E-2</v>
      </c>
      <c r="I250" s="40"/>
      <c r="J250" s="40" t="s">
        <v>59</v>
      </c>
      <c r="K250" s="40" t="s">
        <v>60</v>
      </c>
      <c r="L250" s="40" t="s">
        <v>61</v>
      </c>
      <c r="M250" s="40" t="s">
        <v>62</v>
      </c>
      <c r="N250" s="40" t="s">
        <v>63</v>
      </c>
    </row>
    <row r="251" spans="2:17" x14ac:dyDescent="0.25">
      <c r="B251" s="182">
        <v>44983</v>
      </c>
      <c r="C251">
        <v>287.52999999999997</v>
      </c>
      <c r="D251" s="11">
        <f t="shared" si="8"/>
        <v>-2.878346511305474E-3</v>
      </c>
      <c r="F251" s="45">
        <v>17594.349999999999</v>
      </c>
      <c r="G251" s="11">
        <f t="shared" si="9"/>
        <v>7.360098020130712E-3</v>
      </c>
      <c r="I251" s="38" t="s">
        <v>55</v>
      </c>
      <c r="J251" s="38">
        <v>1</v>
      </c>
      <c r="K251" s="38">
        <v>1.0262795136791458E-3</v>
      </c>
      <c r="L251" s="38">
        <v>1.0262795136791458E-3</v>
      </c>
      <c r="M251" s="38">
        <v>0.56803238141368084</v>
      </c>
      <c r="N251" s="38">
        <v>0.45279527861578606</v>
      </c>
    </row>
    <row r="252" spans="2:17" x14ac:dyDescent="0.25">
      <c r="B252" s="182">
        <v>44990</v>
      </c>
      <c r="C252">
        <v>283.43</v>
      </c>
      <c r="D252" s="11">
        <f t="shared" si="8"/>
        <v>-1.4259381629742829E-2</v>
      </c>
      <c r="F252" s="45">
        <v>17412.900000000001</v>
      </c>
      <c r="G252" s="11">
        <f t="shared" si="9"/>
        <v>-1.0312969788596749E-2</v>
      </c>
      <c r="I252" s="38" t="s">
        <v>56</v>
      </c>
      <c r="J252" s="38">
        <v>101</v>
      </c>
      <c r="K252" s="38">
        <v>0.18247944003408054</v>
      </c>
      <c r="L252" s="38">
        <v>1.8067271290503023E-3</v>
      </c>
      <c r="M252" s="38"/>
      <c r="N252" s="38"/>
    </row>
    <row r="253" spans="2:17" ht="15.75" thickBot="1" x14ac:dyDescent="0.3">
      <c r="B253" s="182">
        <v>44997</v>
      </c>
      <c r="C253">
        <v>288.97000000000003</v>
      </c>
      <c r="D253" s="11">
        <f t="shared" si="8"/>
        <v>1.9546272448223601E-2</v>
      </c>
      <c r="F253" s="45">
        <v>17100.05</v>
      </c>
      <c r="G253" s="11">
        <f t="shared" si="9"/>
        <v>-1.796656501788918E-2</v>
      </c>
      <c r="I253" s="39" t="s">
        <v>57</v>
      </c>
      <c r="J253" s="39">
        <v>102</v>
      </c>
      <c r="K253" s="39">
        <v>0.18350571954775968</v>
      </c>
      <c r="L253" s="39"/>
      <c r="M253" s="39"/>
      <c r="N253" s="39"/>
    </row>
    <row r="254" spans="2:17" ht="15.75" thickBot="1" x14ac:dyDescent="0.3">
      <c r="B254" s="182">
        <v>45004</v>
      </c>
      <c r="C254">
        <v>282.2</v>
      </c>
      <c r="D254" s="11">
        <f t="shared" si="8"/>
        <v>-2.3428037512544742E-2</v>
      </c>
      <c r="F254" s="45">
        <v>16945.05</v>
      </c>
      <c r="G254" s="11">
        <f t="shared" si="9"/>
        <v>-9.0643009815760678E-3</v>
      </c>
    </row>
    <row r="255" spans="2:17" x14ac:dyDescent="0.25">
      <c r="B255" s="182">
        <v>45011</v>
      </c>
      <c r="C255">
        <v>285.95999999999998</v>
      </c>
      <c r="D255" s="11">
        <f t="shared" si="8"/>
        <v>1.3323883770375522E-2</v>
      </c>
      <c r="F255" s="45">
        <v>17359.75</v>
      </c>
      <c r="G255" s="11">
        <f t="shared" si="9"/>
        <v>2.4473223743807226E-2</v>
      </c>
      <c r="I255" s="40"/>
      <c r="J255" s="40" t="s">
        <v>64</v>
      </c>
      <c r="K255" s="40" t="s">
        <v>52</v>
      </c>
      <c r="L255" s="40" t="s">
        <v>65</v>
      </c>
      <c r="M255" s="40" t="s">
        <v>66</v>
      </c>
      <c r="N255" s="40" t="s">
        <v>67</v>
      </c>
      <c r="O255" s="40" t="s">
        <v>68</v>
      </c>
      <c r="P255" s="40" t="s">
        <v>69</v>
      </c>
      <c r="Q255" s="40" t="s">
        <v>70</v>
      </c>
    </row>
    <row r="256" spans="2:17" x14ac:dyDescent="0.25">
      <c r="B256" s="182">
        <v>45018</v>
      </c>
      <c r="C256">
        <v>296.92</v>
      </c>
      <c r="D256" s="11">
        <f t="shared" si="8"/>
        <v>3.8327038746678088E-2</v>
      </c>
      <c r="F256" s="45">
        <v>17599.150000000001</v>
      </c>
      <c r="G256" s="11">
        <f t="shared" si="9"/>
        <v>1.3790521176860304E-2</v>
      </c>
      <c r="I256" s="38" t="s">
        <v>58</v>
      </c>
      <c r="J256" s="38">
        <v>1.677978072624159E-3</v>
      </c>
      <c r="K256" s="38">
        <v>4.3089178833722788E-3</v>
      </c>
      <c r="L256" s="38">
        <v>0.38941983069561925</v>
      </c>
      <c r="M256" s="38">
        <v>0.69778548825540421</v>
      </c>
      <c r="N256" s="38">
        <v>-6.8697559218112731E-3</v>
      </c>
      <c r="O256" s="38">
        <v>1.022571206705959E-2</v>
      </c>
      <c r="P256" s="38">
        <v>-6.8697559218112731E-3</v>
      </c>
      <c r="Q256" s="38">
        <v>1.022571206705959E-2</v>
      </c>
    </row>
    <row r="257" spans="2:17" ht="15.75" thickBot="1" x14ac:dyDescent="0.3">
      <c r="B257" s="182">
        <v>45025</v>
      </c>
      <c r="C257">
        <v>297.61</v>
      </c>
      <c r="D257" s="11">
        <f t="shared" si="8"/>
        <v>2.3238582783240425E-3</v>
      </c>
      <c r="F257" s="45">
        <v>17828</v>
      </c>
      <c r="G257" s="11">
        <f t="shared" si="9"/>
        <v>1.3003468917532901E-2</v>
      </c>
      <c r="I257" s="39" t="s">
        <v>71</v>
      </c>
      <c r="J257" s="39">
        <v>0.2169388208348059</v>
      </c>
      <c r="K257" s="39">
        <v>0.28783972313507156</v>
      </c>
      <c r="L257" s="39">
        <v>0.75367922978790969</v>
      </c>
      <c r="M257" s="39">
        <v>0.45279527861577973</v>
      </c>
      <c r="N257" s="39">
        <v>-0.35405776183039317</v>
      </c>
      <c r="O257" s="39">
        <v>0.78793540350000491</v>
      </c>
      <c r="P257" s="39">
        <v>-0.35405776183039317</v>
      </c>
      <c r="Q257" s="39">
        <v>0.78793540350000491</v>
      </c>
    </row>
    <row r="258" spans="2:17" x14ac:dyDescent="0.25">
      <c r="B258" s="182">
        <v>45032</v>
      </c>
      <c r="C258">
        <v>300.41000000000003</v>
      </c>
      <c r="D258" s="11">
        <f t="shared" si="8"/>
        <v>9.4082860118946954E-3</v>
      </c>
      <c r="F258" s="45">
        <v>17624.05</v>
      </c>
      <c r="G258" s="11">
        <f t="shared" si="9"/>
        <v>-1.143986986762402E-2</v>
      </c>
    </row>
    <row r="259" spans="2:17" x14ac:dyDescent="0.25">
      <c r="B259" s="182">
        <v>45039</v>
      </c>
      <c r="C259">
        <v>298.39999999999998</v>
      </c>
      <c r="D259" s="11">
        <f t="shared" si="8"/>
        <v>-6.6908558303653276E-3</v>
      </c>
      <c r="F259" s="45">
        <v>18065</v>
      </c>
      <c r="G259" s="11">
        <f t="shared" si="9"/>
        <v>2.5019788300645995E-2</v>
      </c>
    </row>
    <row r="260" spans="2:17" x14ac:dyDescent="0.25">
      <c r="B260" s="182">
        <v>45046</v>
      </c>
      <c r="C260">
        <v>296.58</v>
      </c>
      <c r="D260" s="11">
        <f t="shared" si="8"/>
        <v>-6.099195710455696E-3</v>
      </c>
      <c r="F260" s="45">
        <v>18069</v>
      </c>
      <c r="G260" s="11">
        <f t="shared" si="9"/>
        <v>2.2142264046509652E-4</v>
      </c>
    </row>
    <row r="261" spans="2:17" x14ac:dyDescent="0.25">
      <c r="B261" s="182">
        <v>45053</v>
      </c>
      <c r="C261">
        <v>298.39</v>
      </c>
      <c r="D261" s="11">
        <f t="shared" si="8"/>
        <v>6.1029064670576894E-3</v>
      </c>
      <c r="F261" s="45">
        <v>18314.8</v>
      </c>
      <c r="G261" s="11">
        <f t="shared" si="9"/>
        <v>1.3603409153799317E-2</v>
      </c>
    </row>
    <row r="262" spans="2:17" x14ac:dyDescent="0.25">
      <c r="B262" s="182">
        <v>45060</v>
      </c>
      <c r="C262">
        <v>296.64999999999998</v>
      </c>
      <c r="D262" s="11">
        <f t="shared" si="8"/>
        <v>-5.8312946144307709E-3</v>
      </c>
      <c r="F262" s="45">
        <v>18203.400000000001</v>
      </c>
      <c r="G262" s="11">
        <f t="shared" si="9"/>
        <v>-6.0825125035489647E-3</v>
      </c>
    </row>
    <row r="263" spans="2:17" x14ac:dyDescent="0.25">
      <c r="B263" s="182">
        <v>45067</v>
      </c>
      <c r="C263">
        <v>303.02999999999997</v>
      </c>
      <c r="D263" s="11">
        <f t="shared" si="8"/>
        <v>2.1506826226192377E-2</v>
      </c>
      <c r="F263" s="45">
        <v>18499.349999999999</v>
      </c>
      <c r="G263" s="11">
        <f t="shared" si="9"/>
        <v>1.6257951811200044E-2</v>
      </c>
    </row>
    <row r="264" spans="2:17" x14ac:dyDescent="0.25">
      <c r="B264" s="182">
        <v>45074</v>
      </c>
      <c r="C264">
        <v>307.58</v>
      </c>
      <c r="D264" s="11">
        <f t="shared" si="8"/>
        <v>1.501501501501501E-2</v>
      </c>
      <c r="F264" s="45">
        <v>18534.099999999999</v>
      </c>
      <c r="G264" s="11">
        <f t="shared" si="9"/>
        <v>1.8784443777755122E-3</v>
      </c>
    </row>
    <row r="265" spans="2:17" x14ac:dyDescent="0.25">
      <c r="B265" s="182">
        <v>45081</v>
      </c>
      <c r="C265">
        <v>309.44</v>
      </c>
      <c r="D265" s="11">
        <f t="shared" si="8"/>
        <v>6.0472072306392288E-3</v>
      </c>
      <c r="F265" s="45">
        <v>18563.400000000001</v>
      </c>
      <c r="G265" s="11">
        <f t="shared" si="9"/>
        <v>1.5808698561032841E-3</v>
      </c>
    </row>
    <row r="266" spans="2:17" x14ac:dyDescent="0.25">
      <c r="B266" s="182">
        <v>45088</v>
      </c>
      <c r="C266">
        <v>314.56</v>
      </c>
      <c r="D266" s="11">
        <f t="shared" si="8"/>
        <v>1.6546018614270963E-2</v>
      </c>
      <c r="F266" s="45">
        <v>18826</v>
      </c>
      <c r="G266" s="11">
        <f t="shared" si="9"/>
        <v>1.4146115474535925E-2</v>
      </c>
    </row>
    <row r="267" spans="2:17" x14ac:dyDescent="0.25">
      <c r="B267" s="182">
        <v>45095</v>
      </c>
      <c r="C267">
        <v>315.51</v>
      </c>
      <c r="D267" s="11">
        <f t="shared" si="8"/>
        <v>3.0200915564597697E-3</v>
      </c>
      <c r="F267" s="45">
        <v>18665.5</v>
      </c>
      <c r="G267" s="11">
        <f t="shared" si="9"/>
        <v>-8.5254435355359703E-3</v>
      </c>
    </row>
    <row r="268" spans="2:17" x14ac:dyDescent="0.25">
      <c r="B268" s="182">
        <v>45102</v>
      </c>
      <c r="C268">
        <v>314.60000000000002</v>
      </c>
      <c r="D268" s="11">
        <f t="shared" si="8"/>
        <v>-2.8842192006591771E-3</v>
      </c>
      <c r="F268" s="45">
        <v>19189.05</v>
      </c>
      <c r="G268" s="11">
        <f t="shared" si="9"/>
        <v>2.8049074495727355E-2</v>
      </c>
    </row>
    <row r="269" spans="2:17" x14ac:dyDescent="0.25">
      <c r="B269" s="182">
        <v>45109</v>
      </c>
      <c r="C269">
        <v>326.5</v>
      </c>
      <c r="D269" s="11">
        <f t="shared" si="8"/>
        <v>3.7825810553083095E-2</v>
      </c>
      <c r="F269" s="45">
        <v>19331.8</v>
      </c>
      <c r="G269" s="11">
        <f t="shared" si="9"/>
        <v>7.4391384669902916E-3</v>
      </c>
    </row>
    <row r="270" spans="2:17" x14ac:dyDescent="0.25">
      <c r="B270" s="182">
        <v>45116</v>
      </c>
      <c r="C270">
        <v>325.66000000000003</v>
      </c>
      <c r="D270" s="11">
        <f t="shared" si="8"/>
        <v>-2.5727411944869161E-3</v>
      </c>
      <c r="F270" s="45">
        <v>19564.5</v>
      </c>
      <c r="G270" s="11">
        <f t="shared" si="9"/>
        <v>1.2037161567986399E-2</v>
      </c>
    </row>
    <row r="271" spans="2:17" x14ac:dyDescent="0.25">
      <c r="B271" s="182">
        <v>45123</v>
      </c>
      <c r="C271">
        <v>332</v>
      </c>
      <c r="D271" s="11">
        <f t="shared" si="8"/>
        <v>1.9468156973530659E-2</v>
      </c>
      <c r="F271" s="45">
        <v>19745</v>
      </c>
      <c r="G271" s="11">
        <f t="shared" si="9"/>
        <v>9.225893838329613E-3</v>
      </c>
    </row>
    <row r="272" spans="2:17" x14ac:dyDescent="0.25">
      <c r="B272" s="182">
        <v>45130</v>
      </c>
      <c r="C272">
        <v>336.3</v>
      </c>
      <c r="D272" s="11">
        <f t="shared" si="8"/>
        <v>1.2951807228915646E-2</v>
      </c>
      <c r="F272" s="45">
        <v>19646.05</v>
      </c>
      <c r="G272" s="11">
        <f t="shared" si="9"/>
        <v>-5.0113952899468739E-3</v>
      </c>
    </row>
    <row r="273" spans="2:7" x14ac:dyDescent="0.25">
      <c r="B273" s="182">
        <v>45137</v>
      </c>
      <c r="C273">
        <v>324.86</v>
      </c>
      <c r="D273" s="11">
        <f t="shared" si="8"/>
        <v>-3.4017246506095722E-2</v>
      </c>
      <c r="F273" s="45">
        <v>19517</v>
      </c>
      <c r="G273" s="11">
        <f t="shared" si="9"/>
        <v>-6.568750461288575E-3</v>
      </c>
    </row>
    <row r="274" spans="2:7" x14ac:dyDescent="0.25">
      <c r="B274" s="182">
        <v>45144</v>
      </c>
      <c r="C274">
        <v>314.87</v>
      </c>
      <c r="D274" s="11">
        <f t="shared" si="8"/>
        <v>-3.0751708428246038E-2</v>
      </c>
      <c r="F274" s="45">
        <v>19428.3</v>
      </c>
      <c r="G274" s="11">
        <f t="shared" si="9"/>
        <v>-4.5447558538710409E-3</v>
      </c>
    </row>
    <row r="275" spans="2:7" x14ac:dyDescent="0.25">
      <c r="B275" s="182">
        <v>45151</v>
      </c>
      <c r="C275">
        <v>314.19</v>
      </c>
      <c r="D275" s="11">
        <f t="shared" si="8"/>
        <v>-2.1596214310668493E-3</v>
      </c>
      <c r="F275" s="45">
        <v>19310.150000000001</v>
      </c>
      <c r="G275" s="11">
        <f t="shared" si="9"/>
        <v>-6.0813349598265454E-3</v>
      </c>
    </row>
    <row r="276" spans="2:7" x14ac:dyDescent="0.25">
      <c r="B276" s="182">
        <v>45158</v>
      </c>
      <c r="C276">
        <v>319.94</v>
      </c>
      <c r="D276" s="11">
        <f t="shared" si="8"/>
        <v>1.8301028040357714E-2</v>
      </c>
      <c r="F276" s="45">
        <v>19265.8</v>
      </c>
      <c r="G276" s="11">
        <f t="shared" si="9"/>
        <v>-2.2967196008317758E-3</v>
      </c>
    </row>
    <row r="277" spans="2:7" x14ac:dyDescent="0.25">
      <c r="B277" s="182">
        <v>45165</v>
      </c>
      <c r="C277">
        <v>332.04</v>
      </c>
      <c r="D277" s="11">
        <f t="shared" si="8"/>
        <v>3.7819591173344991E-2</v>
      </c>
      <c r="F277" s="45">
        <v>19435.3</v>
      </c>
      <c r="G277" s="11">
        <f t="shared" si="9"/>
        <v>8.7979736112697715E-3</v>
      </c>
    </row>
    <row r="278" spans="2:7" x14ac:dyDescent="0.25">
      <c r="B278" s="182">
        <v>45172</v>
      </c>
      <c r="C278">
        <v>318.02999999999997</v>
      </c>
      <c r="D278" s="11">
        <f t="shared" si="8"/>
        <v>-4.2193711601012041E-2</v>
      </c>
      <c r="F278" s="45">
        <v>19819.95</v>
      </c>
      <c r="G278" s="11">
        <f t="shared" si="9"/>
        <v>1.9791307569216876E-2</v>
      </c>
    </row>
    <row r="279" spans="2:7" x14ac:dyDescent="0.25">
      <c r="B279" s="182">
        <v>45179</v>
      </c>
      <c r="C279">
        <v>322.42</v>
      </c>
      <c r="D279" s="11">
        <f t="shared" si="8"/>
        <v>1.3803729207936488E-2</v>
      </c>
      <c r="F279" s="45">
        <v>20192.349999999999</v>
      </c>
      <c r="G279" s="11">
        <f t="shared" si="9"/>
        <v>1.8789149316723597E-2</v>
      </c>
    </row>
    <row r="280" spans="2:7" x14ac:dyDescent="0.25">
      <c r="B280" s="182">
        <v>45186</v>
      </c>
      <c r="C280">
        <v>323.45</v>
      </c>
      <c r="D280" s="11">
        <f t="shared" si="8"/>
        <v>3.1945909062711664E-3</v>
      </c>
      <c r="F280" s="45">
        <v>19674.25</v>
      </c>
      <c r="G280" s="11">
        <f t="shared" si="9"/>
        <v>-2.5658231954180599E-2</v>
      </c>
    </row>
    <row r="281" spans="2:7" x14ac:dyDescent="0.25">
      <c r="B281" s="182">
        <v>45193</v>
      </c>
      <c r="C281">
        <v>313.39</v>
      </c>
      <c r="D281" s="11">
        <f t="shared" si="8"/>
        <v>-3.1102179625908222E-2</v>
      </c>
      <c r="F281" s="45">
        <v>19638.3</v>
      </c>
      <c r="G281" s="11">
        <f t="shared" si="9"/>
        <v>-1.8272615220402688E-3</v>
      </c>
    </row>
    <row r="282" spans="2:7" x14ac:dyDescent="0.25">
      <c r="B282" s="182">
        <v>45200</v>
      </c>
      <c r="C282">
        <v>306.92</v>
      </c>
      <c r="D282" s="11">
        <f t="shared" si="8"/>
        <v>-2.0645202463384194E-2</v>
      </c>
      <c r="F282" s="45">
        <v>19653.5</v>
      </c>
      <c r="G282" s="11">
        <f t="shared" si="9"/>
        <v>7.7399774929598486E-4</v>
      </c>
    </row>
    <row r="283" spans="2:7" x14ac:dyDescent="0.25">
      <c r="B283" s="182">
        <v>45207</v>
      </c>
      <c r="C283">
        <v>304.83999999999997</v>
      </c>
      <c r="D283" s="11">
        <f t="shared" si="8"/>
        <v>-6.7770102958426559E-3</v>
      </c>
      <c r="F283" s="45">
        <v>19751.05</v>
      </c>
      <c r="G283" s="11">
        <f t="shared" si="9"/>
        <v>4.9634925076957881E-3</v>
      </c>
    </row>
    <row r="284" spans="2:7" x14ac:dyDescent="0.25">
      <c r="B284" s="182">
        <v>45214</v>
      </c>
      <c r="C284">
        <v>300.14</v>
      </c>
      <c r="D284" s="11">
        <f t="shared" si="8"/>
        <v>-1.541792415693477E-2</v>
      </c>
      <c r="F284" s="45">
        <v>19542.650000000001</v>
      </c>
      <c r="G284" s="11">
        <f t="shared" si="9"/>
        <v>-1.0551337776978809E-2</v>
      </c>
    </row>
    <row r="285" spans="2:7" x14ac:dyDescent="0.25">
      <c r="B285" s="182">
        <v>45221</v>
      </c>
      <c r="C285">
        <v>297.26</v>
      </c>
      <c r="D285" s="11">
        <f t="shared" si="8"/>
        <v>-9.5955220896914994E-3</v>
      </c>
      <c r="F285" s="45">
        <v>19047.25</v>
      </c>
      <c r="G285" s="11">
        <f t="shared" si="9"/>
        <v>-2.5349683896503383E-2</v>
      </c>
    </row>
    <row r="286" spans="2:7" x14ac:dyDescent="0.25">
      <c r="B286" s="182">
        <v>45228</v>
      </c>
      <c r="C286">
        <v>290.52999999999997</v>
      </c>
      <c r="D286" s="11">
        <f t="shared" si="8"/>
        <v>-2.2640113032362352E-2</v>
      </c>
      <c r="F286" s="45">
        <v>19230.599999999999</v>
      </c>
      <c r="G286" s="11">
        <f t="shared" si="9"/>
        <v>9.6260615049414966E-3</v>
      </c>
    </row>
    <row r="287" spans="2:7" x14ac:dyDescent="0.25">
      <c r="B287" s="182">
        <v>45235</v>
      </c>
      <c r="C287">
        <v>289.14</v>
      </c>
      <c r="D287" s="11">
        <f t="shared" si="8"/>
        <v>-4.784359618627998E-3</v>
      </c>
      <c r="F287" s="45">
        <v>19425.349999999999</v>
      </c>
      <c r="G287" s="11">
        <f t="shared" si="9"/>
        <v>1.0127089118384225E-2</v>
      </c>
    </row>
    <row r="288" spans="2:7" x14ac:dyDescent="0.25">
      <c r="B288" s="182">
        <v>45242</v>
      </c>
      <c r="C288">
        <v>290.27</v>
      </c>
      <c r="D288" s="11">
        <f t="shared" si="8"/>
        <v>3.9081413847963375E-3</v>
      </c>
      <c r="F288" s="45">
        <v>19731.8</v>
      </c>
      <c r="G288" s="11">
        <f t="shared" si="9"/>
        <v>1.5775777527818002E-2</v>
      </c>
    </row>
    <row r="289" spans="2:7" x14ac:dyDescent="0.25">
      <c r="B289" s="182">
        <v>45249</v>
      </c>
      <c r="C289">
        <v>297.43</v>
      </c>
      <c r="D289" s="11">
        <f t="shared" si="8"/>
        <v>2.4666689633789263E-2</v>
      </c>
      <c r="F289" s="45">
        <v>19794.7</v>
      </c>
      <c r="G289" s="11">
        <f t="shared" si="9"/>
        <v>3.1877476966115648E-3</v>
      </c>
    </row>
    <row r="290" spans="2:7" x14ac:dyDescent="0.25">
      <c r="B290" s="182">
        <v>45256</v>
      </c>
      <c r="C290">
        <v>298.42</v>
      </c>
      <c r="D290" s="11">
        <f t="shared" si="8"/>
        <v>3.3285142722658811E-3</v>
      </c>
      <c r="F290" s="45">
        <v>20267.900000000001</v>
      </c>
      <c r="G290" s="11">
        <f t="shared" si="9"/>
        <v>2.3905388816198414E-2</v>
      </c>
    </row>
    <row r="291" spans="2:7" x14ac:dyDescent="0.25">
      <c r="B291" s="182">
        <v>45263</v>
      </c>
      <c r="C291">
        <v>298.66000000000003</v>
      </c>
      <c r="D291" s="11">
        <f t="shared" si="8"/>
        <v>8.0423564104292744E-4</v>
      </c>
      <c r="F291" s="45">
        <v>20969.400000000001</v>
      </c>
      <c r="G291" s="11">
        <f t="shared" si="9"/>
        <v>3.4611380557433069E-2</v>
      </c>
    </row>
    <row r="292" spans="2:7" x14ac:dyDescent="0.25">
      <c r="B292" s="182">
        <v>45270</v>
      </c>
      <c r="C292">
        <v>302.45</v>
      </c>
      <c r="D292" s="11">
        <f t="shared" si="8"/>
        <v>1.269001540212944E-2</v>
      </c>
      <c r="F292" s="45">
        <v>21456.65</v>
      </c>
      <c r="G292" s="11">
        <f t="shared" si="9"/>
        <v>2.3236239472755438E-2</v>
      </c>
    </row>
    <row r="293" spans="2:7" x14ac:dyDescent="0.25">
      <c r="B293" s="182">
        <v>45277</v>
      </c>
      <c r="C293">
        <v>308.98</v>
      </c>
      <c r="D293" s="11">
        <f t="shared" si="8"/>
        <v>2.159034551165484E-2</v>
      </c>
      <c r="F293" s="45">
        <v>21349.4</v>
      </c>
      <c r="G293" s="11">
        <f t="shared" si="9"/>
        <v>-4.9984503638732525E-3</v>
      </c>
    </row>
    <row r="294" spans="2:7" x14ac:dyDescent="0.25">
      <c r="B294" s="182">
        <v>45284</v>
      </c>
      <c r="C294">
        <v>309.7</v>
      </c>
      <c r="D294" s="11">
        <f t="shared" si="8"/>
        <v>2.3302479124860387E-3</v>
      </c>
      <c r="F294" s="45">
        <v>21731.4</v>
      </c>
      <c r="G294" s="11">
        <f t="shared" si="9"/>
        <v>1.7892774504201459E-2</v>
      </c>
    </row>
    <row r="295" spans="2:7" x14ac:dyDescent="0.25">
      <c r="B295" s="182">
        <v>45291</v>
      </c>
      <c r="C295">
        <v>350.48</v>
      </c>
      <c r="D295" s="11">
        <f t="shared" si="8"/>
        <v>0.13167581530513406</v>
      </c>
      <c r="F295" s="45">
        <v>21710.799999999999</v>
      </c>
      <c r="G295" s="11">
        <f t="shared" si="9"/>
        <v>-9.479370864280412E-4</v>
      </c>
    </row>
    <row r="296" spans="2:7" x14ac:dyDescent="0.25">
      <c r="B296" s="182">
        <v>45298</v>
      </c>
      <c r="C296">
        <v>329.6</v>
      </c>
      <c r="D296" s="11">
        <f t="shared" si="8"/>
        <v>-5.9575439397397845E-2</v>
      </c>
      <c r="F296" s="45">
        <v>21894.55</v>
      </c>
      <c r="G296" s="11">
        <f t="shared" si="9"/>
        <v>8.4635296718684749E-3</v>
      </c>
    </row>
    <row r="297" spans="2:7" x14ac:dyDescent="0.25">
      <c r="B297" s="182">
        <v>45305</v>
      </c>
      <c r="C297">
        <v>331.62</v>
      </c>
      <c r="D297" s="11">
        <f t="shared" si="8"/>
        <v>6.1286407766989459E-3</v>
      </c>
      <c r="F297" s="45">
        <v>21622.400000000001</v>
      </c>
      <c r="G297" s="11">
        <f t="shared" si="9"/>
        <v>-1.2430033958222397E-2</v>
      </c>
    </row>
    <row r="298" spans="2:7" x14ac:dyDescent="0.25">
      <c r="B298" s="182">
        <v>45312</v>
      </c>
      <c r="C298">
        <v>317.91000000000003</v>
      </c>
      <c r="D298" s="11">
        <f t="shared" ref="D298:D335" si="10">C298/C297-1</f>
        <v>-4.1342500452324904E-2</v>
      </c>
      <c r="F298" s="45">
        <v>21352.6</v>
      </c>
      <c r="G298" s="11">
        <f t="shared" ref="G298:G335" si="11">F298/F297-1</f>
        <v>-1.2477800799171379E-2</v>
      </c>
    </row>
    <row r="299" spans="2:7" x14ac:dyDescent="0.25">
      <c r="B299" s="182">
        <v>45319</v>
      </c>
      <c r="C299">
        <v>330.54</v>
      </c>
      <c r="D299" s="11">
        <f t="shared" si="10"/>
        <v>3.9728224969330928E-2</v>
      </c>
      <c r="F299" s="45">
        <v>21853.8</v>
      </c>
      <c r="G299" s="11">
        <f t="shared" si="11"/>
        <v>2.3472551352060167E-2</v>
      </c>
    </row>
    <row r="300" spans="2:7" x14ac:dyDescent="0.25">
      <c r="B300" s="182">
        <v>45326</v>
      </c>
      <c r="C300">
        <v>322.77</v>
      </c>
      <c r="D300" s="11">
        <f t="shared" si="10"/>
        <v>-2.3506988564167886E-2</v>
      </c>
      <c r="F300" s="45">
        <v>21782.5</v>
      </c>
      <c r="G300" s="11">
        <f t="shared" si="11"/>
        <v>-3.2625904876955047E-3</v>
      </c>
    </row>
    <row r="301" spans="2:7" x14ac:dyDescent="0.25">
      <c r="B301" s="182">
        <v>45333</v>
      </c>
      <c r="C301">
        <v>334.25</v>
      </c>
      <c r="D301" s="11">
        <f t="shared" si="10"/>
        <v>3.5567122099327664E-2</v>
      </c>
      <c r="F301" s="45">
        <v>22040.7</v>
      </c>
      <c r="G301" s="11">
        <f t="shared" si="11"/>
        <v>1.1853552163433978E-2</v>
      </c>
    </row>
    <row r="302" spans="2:7" x14ac:dyDescent="0.25">
      <c r="B302" s="182">
        <v>45340</v>
      </c>
      <c r="C302">
        <v>328.97</v>
      </c>
      <c r="D302" s="11">
        <f t="shared" si="10"/>
        <v>-1.5796559461480841E-2</v>
      </c>
      <c r="F302" s="45">
        <v>22212.7</v>
      </c>
      <c r="G302" s="11">
        <f t="shared" si="11"/>
        <v>7.8037448901351336E-3</v>
      </c>
    </row>
    <row r="303" spans="2:7" x14ac:dyDescent="0.25">
      <c r="B303" s="182">
        <v>45347</v>
      </c>
      <c r="C303">
        <v>338.83</v>
      </c>
      <c r="D303" s="11">
        <f t="shared" si="10"/>
        <v>2.9972337903152235E-2</v>
      </c>
      <c r="F303" s="45">
        <v>22338.75</v>
      </c>
      <c r="G303" s="11">
        <f t="shared" si="11"/>
        <v>5.6746816010659895E-3</v>
      </c>
    </row>
    <row r="304" spans="2:7" x14ac:dyDescent="0.25">
      <c r="B304" s="182">
        <v>45354</v>
      </c>
      <c r="C304">
        <v>334.8</v>
      </c>
      <c r="D304" s="11">
        <f t="shared" si="10"/>
        <v>-1.1893870082342106E-2</v>
      </c>
      <c r="F304" s="45">
        <v>22493.55</v>
      </c>
      <c r="G304" s="11">
        <f t="shared" si="11"/>
        <v>6.929662581836471E-3</v>
      </c>
    </row>
    <row r="305" spans="2:7" x14ac:dyDescent="0.25">
      <c r="B305" s="182">
        <v>45361</v>
      </c>
      <c r="C305">
        <v>329.06</v>
      </c>
      <c r="D305" s="11">
        <f t="shared" si="10"/>
        <v>-1.7144563918757516E-2</v>
      </c>
      <c r="F305" s="45">
        <v>22023.35</v>
      </c>
      <c r="G305" s="11">
        <f t="shared" si="11"/>
        <v>-2.0903770191899484E-2</v>
      </c>
    </row>
    <row r="306" spans="2:7" x14ac:dyDescent="0.25">
      <c r="B306" s="182">
        <v>45368</v>
      </c>
      <c r="C306">
        <v>326.93</v>
      </c>
      <c r="D306" s="11">
        <f t="shared" si="10"/>
        <v>-6.4729836503980565E-3</v>
      </c>
      <c r="F306" s="45">
        <v>22096.75</v>
      </c>
      <c r="G306" s="11">
        <f t="shared" si="11"/>
        <v>3.3328262957270649E-3</v>
      </c>
    </row>
    <row r="307" spans="2:7" x14ac:dyDescent="0.25">
      <c r="B307" s="182">
        <v>45375</v>
      </c>
      <c r="C307">
        <v>324.55</v>
      </c>
      <c r="D307" s="11">
        <f t="shared" si="10"/>
        <v>-7.279845838558674E-3</v>
      </c>
      <c r="F307" s="45">
        <v>22326.9</v>
      </c>
      <c r="G307" s="11">
        <f t="shared" si="11"/>
        <v>1.0415558849152129E-2</v>
      </c>
    </row>
    <row r="308" spans="2:7" x14ac:dyDescent="0.25">
      <c r="B308" s="182">
        <v>45382</v>
      </c>
      <c r="C308">
        <v>334.5</v>
      </c>
      <c r="D308" s="11">
        <f t="shared" si="10"/>
        <v>3.065783392389454E-2</v>
      </c>
      <c r="F308" s="45">
        <v>22513.7</v>
      </c>
      <c r="G308" s="11">
        <f t="shared" si="11"/>
        <v>8.3665891816597782E-3</v>
      </c>
    </row>
    <row r="309" spans="2:7" x14ac:dyDescent="0.25">
      <c r="B309" s="182">
        <v>45389</v>
      </c>
      <c r="C309">
        <v>336.67</v>
      </c>
      <c r="D309" s="11">
        <f t="shared" si="10"/>
        <v>6.4872944693572521E-3</v>
      </c>
      <c r="F309" s="45">
        <v>22519.4</v>
      </c>
      <c r="G309" s="11">
        <f t="shared" si="11"/>
        <v>2.5317917534661838E-4</v>
      </c>
    </row>
    <row r="310" spans="2:7" x14ac:dyDescent="0.25">
      <c r="B310" s="182">
        <v>45396</v>
      </c>
      <c r="C310">
        <v>356.8</v>
      </c>
      <c r="D310" s="11">
        <f t="shared" si="10"/>
        <v>5.9791487212997874E-2</v>
      </c>
      <c r="F310" s="45">
        <v>22147</v>
      </c>
      <c r="G310" s="11">
        <f t="shared" si="11"/>
        <v>-1.6536852669254087E-2</v>
      </c>
    </row>
    <row r="311" spans="2:7" x14ac:dyDescent="0.25">
      <c r="B311" s="182">
        <v>45403</v>
      </c>
      <c r="C311">
        <v>374.56</v>
      </c>
      <c r="D311" s="11">
        <f t="shared" si="10"/>
        <v>4.9775784753363306E-2</v>
      </c>
      <c r="F311" s="45">
        <v>22419.95</v>
      </c>
      <c r="G311" s="11">
        <f t="shared" si="11"/>
        <v>1.2324468325281002E-2</v>
      </c>
    </row>
    <row r="312" spans="2:7" x14ac:dyDescent="0.25">
      <c r="B312" s="182">
        <v>45410</v>
      </c>
      <c r="C312">
        <v>361.97</v>
      </c>
      <c r="D312" s="11">
        <f t="shared" si="10"/>
        <v>-3.3612772319521533E-2</v>
      </c>
      <c r="F312" s="45">
        <v>22475.85</v>
      </c>
      <c r="G312" s="11">
        <f t="shared" si="11"/>
        <v>2.4933151055197555E-3</v>
      </c>
    </row>
    <row r="313" spans="2:7" x14ac:dyDescent="0.25">
      <c r="B313" s="182">
        <v>45417</v>
      </c>
      <c r="C313">
        <v>341.53</v>
      </c>
      <c r="D313" s="11">
        <f t="shared" si="10"/>
        <v>-5.6468768129955715E-2</v>
      </c>
      <c r="F313" s="45">
        <v>22055.200000000001</v>
      </c>
      <c r="G313" s="11">
        <f t="shared" si="11"/>
        <v>-1.8715643679771743E-2</v>
      </c>
    </row>
    <row r="314" spans="2:7" x14ac:dyDescent="0.25">
      <c r="B314" s="182">
        <v>45424</v>
      </c>
      <c r="C314">
        <v>367.38</v>
      </c>
      <c r="D314" s="11">
        <f t="shared" si="10"/>
        <v>7.5688812110209946E-2</v>
      </c>
      <c r="F314" s="45">
        <v>22466.1</v>
      </c>
      <c r="G314" s="11">
        <f t="shared" si="11"/>
        <v>1.8630527041241907E-2</v>
      </c>
    </row>
    <row r="315" spans="2:7" x14ac:dyDescent="0.25">
      <c r="B315" s="182">
        <v>45431</v>
      </c>
      <c r="C315">
        <v>362.71</v>
      </c>
      <c r="D315" s="11">
        <f t="shared" si="10"/>
        <v>-1.2711633730742022E-2</v>
      </c>
      <c r="F315" s="45">
        <v>22957.1</v>
      </c>
      <c r="G315" s="11">
        <f t="shared" si="11"/>
        <v>2.1855150649200406E-2</v>
      </c>
    </row>
    <row r="316" spans="2:7" x14ac:dyDescent="0.25">
      <c r="B316" s="182">
        <v>45438</v>
      </c>
      <c r="C316">
        <v>367.18</v>
      </c>
      <c r="D316" s="11">
        <f t="shared" si="10"/>
        <v>1.2323895122825501E-2</v>
      </c>
      <c r="F316" s="45">
        <v>22530.7</v>
      </c>
      <c r="G316" s="11">
        <f t="shared" si="11"/>
        <v>-1.8573774562117951E-2</v>
      </c>
    </row>
    <row r="317" spans="2:7" x14ac:dyDescent="0.25">
      <c r="B317" s="182">
        <v>45445</v>
      </c>
      <c r="C317">
        <v>383.42</v>
      </c>
      <c r="D317" s="11">
        <f t="shared" si="10"/>
        <v>4.4228988506999301E-2</v>
      </c>
      <c r="F317" s="45">
        <v>23290.15</v>
      </c>
      <c r="G317" s="11">
        <f t="shared" si="11"/>
        <v>3.3707341538434354E-2</v>
      </c>
    </row>
    <row r="318" spans="2:7" x14ac:dyDescent="0.25">
      <c r="B318" s="182">
        <v>45452</v>
      </c>
      <c r="C318">
        <v>392.15</v>
      </c>
      <c r="D318" s="11">
        <f t="shared" si="10"/>
        <v>2.2768765322622508E-2</v>
      </c>
      <c r="F318" s="45">
        <v>23465.599999999999</v>
      </c>
      <c r="G318" s="11">
        <f t="shared" si="11"/>
        <v>7.5332275661599279E-3</v>
      </c>
    </row>
    <row r="319" spans="2:7" x14ac:dyDescent="0.25">
      <c r="B319" s="182">
        <v>45459</v>
      </c>
      <c r="C319">
        <v>372.11</v>
      </c>
      <c r="D319" s="11">
        <f t="shared" si="10"/>
        <v>-5.1102894300650181E-2</v>
      </c>
      <c r="F319" s="45">
        <v>23501.1</v>
      </c>
      <c r="G319" s="11">
        <f t="shared" si="11"/>
        <v>1.5128528569481325E-3</v>
      </c>
    </row>
    <row r="320" spans="2:7" x14ac:dyDescent="0.25">
      <c r="B320" s="182">
        <v>45466</v>
      </c>
      <c r="C320">
        <v>363.21</v>
      </c>
      <c r="D320" s="11">
        <f t="shared" si="10"/>
        <v>-2.3917658756819282E-2</v>
      </c>
      <c r="F320" s="45">
        <v>24010.6</v>
      </c>
      <c r="G320" s="11">
        <f t="shared" si="11"/>
        <v>2.1679836262983532E-2</v>
      </c>
    </row>
    <row r="321" spans="2:7" x14ac:dyDescent="0.25">
      <c r="B321" s="182">
        <v>45473</v>
      </c>
      <c r="C321">
        <v>372.75</v>
      </c>
      <c r="D321" s="11">
        <f t="shared" si="10"/>
        <v>2.6265796646568251E-2</v>
      </c>
      <c r="F321" s="45">
        <v>24323.85</v>
      </c>
      <c r="G321" s="11">
        <f t="shared" si="11"/>
        <v>1.3046321208133094E-2</v>
      </c>
    </row>
    <row r="322" spans="2:7" x14ac:dyDescent="0.25">
      <c r="B322" s="182">
        <v>45480</v>
      </c>
      <c r="C322">
        <v>374</v>
      </c>
      <c r="D322" s="11">
        <f t="shared" si="10"/>
        <v>3.3534540576793948E-3</v>
      </c>
      <c r="F322" s="45">
        <v>24502.15</v>
      </c>
      <c r="G322" s="11">
        <f t="shared" si="11"/>
        <v>7.3302540510651326E-3</v>
      </c>
    </row>
    <row r="323" spans="2:7" x14ac:dyDescent="0.25">
      <c r="B323" s="182">
        <v>45487</v>
      </c>
      <c r="C323">
        <v>415.74</v>
      </c>
      <c r="D323" s="11">
        <f t="shared" si="10"/>
        <v>0.11160427807486628</v>
      </c>
      <c r="F323" s="45">
        <v>24530.9</v>
      </c>
      <c r="G323" s="11">
        <f t="shared" si="11"/>
        <v>1.1733664188653403E-3</v>
      </c>
    </row>
    <row r="324" spans="2:7" x14ac:dyDescent="0.25">
      <c r="B324" s="182">
        <v>45494</v>
      </c>
      <c r="C324">
        <v>372.32</v>
      </c>
      <c r="D324" s="11">
        <f t="shared" si="10"/>
        <v>-0.10444027517198251</v>
      </c>
      <c r="F324" s="45">
        <v>24834.85</v>
      </c>
      <c r="G324" s="11">
        <f t="shared" si="11"/>
        <v>1.2390495252925682E-2</v>
      </c>
    </row>
    <row r="325" spans="2:7" x14ac:dyDescent="0.25">
      <c r="B325" s="182">
        <v>45501</v>
      </c>
      <c r="C325">
        <v>389.3</v>
      </c>
      <c r="D325" s="11">
        <f t="shared" si="10"/>
        <v>4.5605930382466742E-2</v>
      </c>
      <c r="F325" s="45">
        <v>24717.7</v>
      </c>
      <c r="G325" s="11">
        <f t="shared" si="11"/>
        <v>-4.7171615693268887E-3</v>
      </c>
    </row>
    <row r="326" spans="2:7" x14ac:dyDescent="0.25">
      <c r="B326" s="182">
        <v>45508</v>
      </c>
      <c r="C326">
        <v>376.51</v>
      </c>
      <c r="D326" s="11">
        <f t="shared" si="10"/>
        <v>-3.285384022604676E-2</v>
      </c>
      <c r="F326" s="45">
        <v>24367.5</v>
      </c>
      <c r="G326" s="11">
        <f t="shared" si="11"/>
        <v>-1.4167984885325113E-2</v>
      </c>
    </row>
    <row r="327" spans="2:7" x14ac:dyDescent="0.25">
      <c r="B327" s="182">
        <v>45515</v>
      </c>
      <c r="C327">
        <v>375.2</v>
      </c>
      <c r="D327" s="11">
        <f t="shared" si="10"/>
        <v>-3.479323258346434E-3</v>
      </c>
      <c r="F327" s="45">
        <v>24541.15</v>
      </c>
      <c r="G327" s="11">
        <f t="shared" si="11"/>
        <v>7.1262952703396998E-3</v>
      </c>
    </row>
    <row r="328" spans="2:7" x14ac:dyDescent="0.25">
      <c r="B328" s="182">
        <v>45522</v>
      </c>
      <c r="C328">
        <v>420.82</v>
      </c>
      <c r="D328" s="11">
        <f t="shared" si="10"/>
        <v>0.12158848614072504</v>
      </c>
      <c r="F328" s="45">
        <v>24823.15</v>
      </c>
      <c r="G328" s="11">
        <f t="shared" si="11"/>
        <v>1.1490904052988471E-2</v>
      </c>
    </row>
    <row r="329" spans="2:7" x14ac:dyDescent="0.25">
      <c r="B329" s="182">
        <v>45529</v>
      </c>
      <c r="C329">
        <v>415.24</v>
      </c>
      <c r="D329" s="11">
        <f t="shared" si="10"/>
        <v>-1.3259826053894752E-2</v>
      </c>
      <c r="F329" s="45">
        <v>25235.9</v>
      </c>
      <c r="G329" s="11">
        <f t="shared" si="11"/>
        <v>1.6627623810837822E-2</v>
      </c>
    </row>
    <row r="330" spans="2:7" x14ac:dyDescent="0.25">
      <c r="B330" s="182">
        <v>45536</v>
      </c>
      <c r="C330">
        <v>481.25</v>
      </c>
      <c r="D330" s="11">
        <f t="shared" si="10"/>
        <v>0.15896830748482804</v>
      </c>
      <c r="F330" s="45">
        <v>24852.15</v>
      </c>
      <c r="G330" s="11">
        <f t="shared" si="11"/>
        <v>-1.5206511358818231E-2</v>
      </c>
    </row>
    <row r="331" spans="2:7" x14ac:dyDescent="0.25">
      <c r="B331" s="182">
        <v>45543</v>
      </c>
      <c r="C331">
        <v>441.15</v>
      </c>
      <c r="D331" s="11">
        <f t="shared" si="10"/>
        <v>-8.3324675324675357E-2</v>
      </c>
      <c r="F331" s="45">
        <v>25356.5</v>
      </c>
      <c r="G331" s="11">
        <f t="shared" si="11"/>
        <v>2.0294018827344829E-2</v>
      </c>
    </row>
    <row r="332" spans="2:7" x14ac:dyDescent="0.25">
      <c r="B332" s="182">
        <v>45550</v>
      </c>
      <c r="C332">
        <v>449.75</v>
      </c>
      <c r="D332" s="11">
        <f t="shared" si="10"/>
        <v>1.949450300351363E-2</v>
      </c>
      <c r="F332" s="45">
        <v>25790.95</v>
      </c>
      <c r="G332" s="11">
        <f t="shared" si="11"/>
        <v>1.7133673811448702E-2</v>
      </c>
    </row>
    <row r="333" spans="2:7" x14ac:dyDescent="0.25">
      <c r="B333" s="182">
        <v>45557</v>
      </c>
      <c r="C333">
        <v>381</v>
      </c>
      <c r="D333" s="11">
        <f t="shared" si="10"/>
        <v>-0.15286270150083381</v>
      </c>
      <c r="F333" s="45">
        <v>26178.95</v>
      </c>
      <c r="G333" s="11">
        <f t="shared" si="11"/>
        <v>1.5044036764834123E-2</v>
      </c>
    </row>
    <row r="334" spans="2:7" x14ac:dyDescent="0.25">
      <c r="B334" s="182">
        <v>45564</v>
      </c>
      <c r="C334">
        <v>358.8</v>
      </c>
      <c r="D334" s="11">
        <f t="shared" si="10"/>
        <v>-5.8267716535433056E-2</v>
      </c>
      <c r="F334" s="45">
        <v>25014.6</v>
      </c>
      <c r="G334" s="11">
        <f t="shared" si="11"/>
        <v>-4.4476573735768743E-2</v>
      </c>
    </row>
    <row r="335" spans="2:7" x14ac:dyDescent="0.25">
      <c r="B335" s="182">
        <v>45571</v>
      </c>
      <c r="C335">
        <v>380.2</v>
      </c>
      <c r="D335" s="11">
        <f t="shared" si="10"/>
        <v>5.9643255295429132E-2</v>
      </c>
      <c r="F335" s="45">
        <v>24964.25</v>
      </c>
      <c r="G335" s="11">
        <f t="shared" si="11"/>
        <v>-2.0128245104857889E-3</v>
      </c>
    </row>
    <row r="336" spans="2:7" x14ac:dyDescent="0.25">
      <c r="F336" s="45"/>
      <c r="G336" s="11"/>
    </row>
    <row r="463" spans="1:1" x14ac:dyDescent="0.25">
      <c r="A463" s="36"/>
    </row>
    <row r="465" spans="1:1" x14ac:dyDescent="0.25">
      <c r="A465" s="46"/>
    </row>
    <row r="466" spans="1:1" x14ac:dyDescent="0.25">
      <c r="A466" s="46"/>
    </row>
    <row r="467" spans="1:1" x14ac:dyDescent="0.25">
      <c r="A467" s="46"/>
    </row>
    <row r="468" spans="1:1" x14ac:dyDescent="0.25">
      <c r="A468" s="46"/>
    </row>
    <row r="469" spans="1:1" x14ac:dyDescent="0.25">
      <c r="A469" s="46"/>
    </row>
    <row r="470" spans="1:1" x14ac:dyDescent="0.25">
      <c r="A470" s="46"/>
    </row>
    <row r="471" spans="1:1" x14ac:dyDescent="0.25">
      <c r="A471" s="46"/>
    </row>
    <row r="472" spans="1:1" x14ac:dyDescent="0.25">
      <c r="A472" s="46"/>
    </row>
    <row r="473" spans="1:1" x14ac:dyDescent="0.25">
      <c r="A473" s="46"/>
    </row>
    <row r="474" spans="1:1" x14ac:dyDescent="0.25">
      <c r="A474" s="46"/>
    </row>
    <row r="475" spans="1:1" x14ac:dyDescent="0.25">
      <c r="A475" s="46"/>
    </row>
    <row r="476" spans="1:1" x14ac:dyDescent="0.25">
      <c r="A476" s="46"/>
    </row>
    <row r="477" spans="1:1" x14ac:dyDescent="0.25">
      <c r="A477" s="46"/>
    </row>
    <row r="478" spans="1:1" x14ac:dyDescent="0.25">
      <c r="A478" s="46"/>
    </row>
    <row r="479" spans="1:1" x14ac:dyDescent="0.25">
      <c r="A479" s="46"/>
    </row>
    <row r="480" spans="1:1" x14ac:dyDescent="0.25">
      <c r="A480" s="46"/>
    </row>
    <row r="481" spans="1:1" x14ac:dyDescent="0.25">
      <c r="A481" s="46"/>
    </row>
    <row r="482" spans="1:1" x14ac:dyDescent="0.25">
      <c r="A482" s="46"/>
    </row>
    <row r="483" spans="1:1" x14ac:dyDescent="0.25">
      <c r="A483" s="46"/>
    </row>
    <row r="484" spans="1:1" x14ac:dyDescent="0.25">
      <c r="A484" s="46"/>
    </row>
    <row r="485" spans="1:1" x14ac:dyDescent="0.25">
      <c r="A485" s="46"/>
    </row>
    <row r="486" spans="1:1" x14ac:dyDescent="0.25">
      <c r="A486" s="46"/>
    </row>
    <row r="487" spans="1:1" x14ac:dyDescent="0.25">
      <c r="A487" s="46"/>
    </row>
    <row r="488" spans="1:1" x14ac:dyDescent="0.25">
      <c r="A488" s="46"/>
    </row>
    <row r="489" spans="1:1" x14ac:dyDescent="0.25">
      <c r="A489" s="46"/>
    </row>
    <row r="490" spans="1:1" x14ac:dyDescent="0.25">
      <c r="A490" s="46"/>
    </row>
    <row r="491" spans="1:1" x14ac:dyDescent="0.25">
      <c r="A491" s="46"/>
    </row>
    <row r="492" spans="1:1" x14ac:dyDescent="0.25">
      <c r="A492" s="46"/>
    </row>
    <row r="493" spans="1:1" x14ac:dyDescent="0.25">
      <c r="A493" s="46"/>
    </row>
    <row r="494" spans="1:1" x14ac:dyDescent="0.25">
      <c r="A494" s="46"/>
    </row>
    <row r="495" spans="1:1" x14ac:dyDescent="0.25">
      <c r="A495" s="46"/>
    </row>
    <row r="496" spans="1:1" x14ac:dyDescent="0.25">
      <c r="A496" s="46"/>
    </row>
    <row r="497" spans="1:7" x14ac:dyDescent="0.25">
      <c r="A497" s="46"/>
    </row>
    <row r="498" spans="1:7" x14ac:dyDescent="0.25">
      <c r="A498" s="46"/>
    </row>
    <row r="499" spans="1:7" x14ac:dyDescent="0.25">
      <c r="A499" s="46"/>
    </row>
    <row r="500" spans="1:7" x14ac:dyDescent="0.25">
      <c r="A500" s="46"/>
    </row>
    <row r="501" spans="1:7" x14ac:dyDescent="0.25">
      <c r="A501" s="46"/>
    </row>
    <row r="502" spans="1:7" x14ac:dyDescent="0.25">
      <c r="A502" s="46"/>
    </row>
    <row r="503" spans="1:7" x14ac:dyDescent="0.25">
      <c r="A503" s="46"/>
    </row>
    <row r="504" spans="1:7" x14ac:dyDescent="0.25">
      <c r="A504" s="46"/>
    </row>
    <row r="505" spans="1:7" x14ac:dyDescent="0.25">
      <c r="A505" s="46"/>
    </row>
    <row r="506" spans="1:7" x14ac:dyDescent="0.25">
      <c r="A506" s="46"/>
      <c r="B506" s="36"/>
      <c r="C506" s="45"/>
      <c r="D506" s="11"/>
      <c r="F506" s="45"/>
      <c r="G506" s="11"/>
    </row>
    <row r="507" spans="1:7" x14ac:dyDescent="0.25">
      <c r="A507" s="46"/>
      <c r="B507" s="36"/>
      <c r="C507" s="45"/>
      <c r="D507" s="11"/>
      <c r="F507" s="45"/>
      <c r="G507" s="11"/>
    </row>
    <row r="508" spans="1:7" x14ac:dyDescent="0.25">
      <c r="A508" s="46"/>
      <c r="B508" s="36"/>
      <c r="C508" s="45"/>
      <c r="D508" s="11"/>
      <c r="F508" s="45"/>
      <c r="G508" s="11"/>
    </row>
    <row r="509" spans="1:7" x14ac:dyDescent="0.25">
      <c r="A509" s="46"/>
      <c r="B509" s="36"/>
      <c r="C509" s="45"/>
      <c r="D509" s="11"/>
      <c r="F509" s="45"/>
      <c r="G509" s="11"/>
    </row>
    <row r="510" spans="1:7" x14ac:dyDescent="0.25">
      <c r="A510" s="46"/>
      <c r="B510" s="36"/>
      <c r="C510" s="45"/>
      <c r="D510" s="11"/>
      <c r="F510" s="45"/>
      <c r="G510" s="11"/>
    </row>
    <row r="511" spans="1:7" x14ac:dyDescent="0.25">
      <c r="A511" s="46"/>
      <c r="B511" s="36"/>
      <c r="C511" s="45"/>
      <c r="D511" s="11"/>
      <c r="F511" s="45"/>
      <c r="G511" s="11"/>
    </row>
    <row r="512" spans="1:7" x14ac:dyDescent="0.25">
      <c r="A512" s="46"/>
      <c r="B512" s="36"/>
      <c r="C512" s="45"/>
      <c r="D512" s="11"/>
      <c r="F512" s="45"/>
      <c r="G512" s="11"/>
    </row>
    <row r="513" spans="1:7" x14ac:dyDescent="0.25">
      <c r="A513" s="46"/>
      <c r="B513" s="36"/>
      <c r="C513" s="45"/>
      <c r="D513" s="11"/>
      <c r="F513" s="45"/>
      <c r="G513" s="11"/>
    </row>
    <row r="514" spans="1:7" x14ac:dyDescent="0.25">
      <c r="A514" s="46"/>
      <c r="B514" s="36"/>
      <c r="C514" s="45"/>
      <c r="D514" s="11"/>
      <c r="F514" s="45"/>
      <c r="G514" s="11"/>
    </row>
    <row r="515" spans="1:7" x14ac:dyDescent="0.25">
      <c r="A515" s="46"/>
      <c r="B515" s="36"/>
      <c r="C515" s="45"/>
      <c r="D515" s="11"/>
      <c r="F515" s="45"/>
      <c r="G515" s="11"/>
    </row>
    <row r="516" spans="1:7" x14ac:dyDescent="0.25">
      <c r="A516" s="46"/>
      <c r="B516" s="36"/>
      <c r="C516" s="45"/>
      <c r="D516" s="11"/>
      <c r="F516" s="45"/>
      <c r="G516" s="11"/>
    </row>
    <row r="517" spans="1:7" x14ac:dyDescent="0.25">
      <c r="A517" s="46"/>
      <c r="B517" s="36"/>
      <c r="C517" s="45"/>
      <c r="D517" s="11"/>
      <c r="F517" s="45"/>
      <c r="G517" s="11"/>
    </row>
    <row r="518" spans="1:7" x14ac:dyDescent="0.25">
      <c r="A518" s="46"/>
      <c r="B518" s="36"/>
      <c r="C518" s="45"/>
      <c r="D518" s="11"/>
      <c r="F518" s="45"/>
      <c r="G518" s="11"/>
    </row>
    <row r="519" spans="1:7" x14ac:dyDescent="0.25">
      <c r="A519" s="46"/>
      <c r="B519" s="36"/>
      <c r="C519" s="45"/>
      <c r="D519" s="11"/>
      <c r="F519" s="45"/>
      <c r="G519" s="11"/>
    </row>
    <row r="520" spans="1:7" x14ac:dyDescent="0.25">
      <c r="A520" s="46"/>
      <c r="B520" s="36"/>
      <c r="C520" s="45"/>
      <c r="D520" s="11"/>
      <c r="F520" s="45"/>
      <c r="G520" s="11"/>
    </row>
    <row r="521" spans="1:7" x14ac:dyDescent="0.25">
      <c r="A521" s="46"/>
      <c r="B521" s="36"/>
      <c r="C521" s="45"/>
      <c r="D521" s="11"/>
      <c r="F521" s="45"/>
      <c r="G521" s="11"/>
    </row>
    <row r="522" spans="1:7" x14ac:dyDescent="0.25">
      <c r="A522" s="46"/>
      <c r="B522" s="36"/>
      <c r="C522" s="45"/>
      <c r="D522" s="11"/>
      <c r="F522" s="45"/>
      <c r="G522" s="11"/>
    </row>
    <row r="523" spans="1:7" x14ac:dyDescent="0.25">
      <c r="A523" s="46"/>
      <c r="B523" s="36"/>
      <c r="C523" s="45"/>
      <c r="D523" s="11"/>
      <c r="F523" s="45"/>
      <c r="G523" s="11"/>
    </row>
    <row r="524" spans="1:7" x14ac:dyDescent="0.25">
      <c r="A524" s="46"/>
      <c r="B524" s="36"/>
      <c r="C524" s="45"/>
      <c r="D524" s="11"/>
      <c r="F524" s="45"/>
      <c r="G524" s="11"/>
    </row>
    <row r="525" spans="1:7" x14ac:dyDescent="0.25">
      <c r="A525" s="46"/>
      <c r="B525" s="36"/>
      <c r="C525" s="45"/>
      <c r="D525" s="11"/>
      <c r="F525" s="45"/>
      <c r="G525" s="11"/>
    </row>
    <row r="526" spans="1:7" x14ac:dyDescent="0.25">
      <c r="B526" s="36"/>
      <c r="C526" s="45"/>
      <c r="D526" s="11"/>
      <c r="F526" s="45"/>
      <c r="G526" s="11"/>
    </row>
    <row r="527" spans="1:7" x14ac:dyDescent="0.25">
      <c r="B527" s="36"/>
      <c r="C527" s="45"/>
      <c r="D527" s="11"/>
      <c r="F527" s="45"/>
      <c r="G527" s="11"/>
    </row>
    <row r="528" spans="1:7" x14ac:dyDescent="0.25">
      <c r="B528" s="36"/>
      <c r="C528" s="45"/>
      <c r="D528" s="11"/>
      <c r="F528" s="45"/>
      <c r="G528" s="11"/>
    </row>
    <row r="529" spans="2:7" x14ac:dyDescent="0.25">
      <c r="B529" s="36"/>
      <c r="C529" s="45"/>
      <c r="D529" s="11"/>
      <c r="F529" s="45"/>
      <c r="G529" s="11"/>
    </row>
    <row r="530" spans="2:7" x14ac:dyDescent="0.25">
      <c r="B530" s="36"/>
      <c r="C530" s="45"/>
      <c r="D530" s="11"/>
      <c r="F530" s="45"/>
      <c r="G530" s="11"/>
    </row>
    <row r="531" spans="2:7" x14ac:dyDescent="0.25">
      <c r="B531" s="36"/>
      <c r="C531" s="45"/>
      <c r="D531" s="11"/>
      <c r="F531" s="45"/>
      <c r="G531" s="11"/>
    </row>
    <row r="532" spans="2:7" x14ac:dyDescent="0.25">
      <c r="B532" s="36"/>
      <c r="C532" s="45"/>
      <c r="D532" s="11"/>
      <c r="F532" s="45"/>
      <c r="G532" s="11"/>
    </row>
    <row r="533" spans="2:7" x14ac:dyDescent="0.25">
      <c r="B533" s="36"/>
      <c r="C533" s="45"/>
      <c r="D533" s="11"/>
      <c r="F533" s="45"/>
      <c r="G533" s="11"/>
    </row>
    <row r="534" spans="2:7" x14ac:dyDescent="0.25">
      <c r="B534" s="36"/>
      <c r="C534" s="45"/>
      <c r="D534" s="11"/>
      <c r="F534" s="45"/>
      <c r="G534" s="11"/>
    </row>
    <row r="535" spans="2:7" x14ac:dyDescent="0.25">
      <c r="B535" s="36"/>
      <c r="C535" s="45"/>
      <c r="D535" s="11"/>
      <c r="F535" s="45"/>
      <c r="G535" s="11"/>
    </row>
    <row r="536" spans="2:7" x14ac:dyDescent="0.25">
      <c r="B536" s="36"/>
      <c r="C536" s="45"/>
      <c r="D536" s="11"/>
      <c r="F536" s="45"/>
      <c r="G536" s="11"/>
    </row>
    <row r="537" spans="2:7" x14ac:dyDescent="0.25">
      <c r="B537" s="36"/>
      <c r="C537" s="45"/>
      <c r="D537" s="11"/>
      <c r="F537" s="45"/>
      <c r="G537" s="11"/>
    </row>
    <row r="538" spans="2:7" x14ac:dyDescent="0.25">
      <c r="B538" s="36"/>
      <c r="C538" s="45"/>
      <c r="D538" s="11"/>
      <c r="F538" s="45"/>
      <c r="G538" s="11"/>
    </row>
    <row r="539" spans="2:7" x14ac:dyDescent="0.25">
      <c r="B539" s="36"/>
      <c r="C539" s="45"/>
      <c r="D539" s="11"/>
      <c r="F539" s="45"/>
      <c r="G539" s="11"/>
    </row>
    <row r="540" spans="2:7" x14ac:dyDescent="0.25">
      <c r="B540" s="36"/>
      <c r="C540" s="45"/>
      <c r="D540" s="11"/>
      <c r="F540" s="45"/>
      <c r="G540" s="11"/>
    </row>
    <row r="541" spans="2:7" x14ac:dyDescent="0.25">
      <c r="B541" s="36"/>
      <c r="C541" s="45"/>
      <c r="D541" s="11"/>
      <c r="F541" s="45"/>
      <c r="G541" s="11"/>
    </row>
    <row r="542" spans="2:7" x14ac:dyDescent="0.25">
      <c r="B542" s="36"/>
      <c r="C542" s="45"/>
      <c r="D542" s="11"/>
      <c r="F542" s="45"/>
      <c r="G542" s="11"/>
    </row>
    <row r="543" spans="2:7" x14ac:dyDescent="0.25">
      <c r="B543" s="36"/>
      <c r="C543" s="45"/>
      <c r="D543" s="11"/>
      <c r="F543" s="45"/>
      <c r="G543" s="11"/>
    </row>
    <row r="544" spans="2:7" x14ac:dyDescent="0.25">
      <c r="B544" s="36"/>
      <c r="C544" s="45"/>
      <c r="D544" s="11"/>
      <c r="F544" s="45"/>
      <c r="G544" s="11"/>
    </row>
    <row r="545" spans="2:7" x14ac:dyDescent="0.25">
      <c r="B545" s="36"/>
      <c r="C545" s="45"/>
      <c r="D545" s="11"/>
      <c r="F545" s="45"/>
      <c r="G545" s="11"/>
    </row>
    <row r="546" spans="2:7" x14ac:dyDescent="0.25">
      <c r="B546" s="36"/>
      <c r="C546" s="45"/>
      <c r="D546" s="11"/>
      <c r="F546" s="45"/>
      <c r="G546" s="11"/>
    </row>
    <row r="547" spans="2:7" x14ac:dyDescent="0.25">
      <c r="B547" s="36"/>
      <c r="C547" s="45"/>
      <c r="D547" s="11"/>
      <c r="F547" s="45"/>
      <c r="G547" s="11"/>
    </row>
    <row r="548" spans="2:7" x14ac:dyDescent="0.25">
      <c r="B548" s="36"/>
      <c r="C548" s="45"/>
      <c r="D548" s="11"/>
      <c r="F548" s="45"/>
      <c r="G548" s="11"/>
    </row>
    <row r="549" spans="2:7" x14ac:dyDescent="0.25">
      <c r="B549" s="36"/>
      <c r="C549" s="45"/>
      <c r="D549" s="11"/>
      <c r="F549" s="45"/>
      <c r="G549" s="11"/>
    </row>
    <row r="550" spans="2:7" x14ac:dyDescent="0.25">
      <c r="B550" s="36"/>
      <c r="C550" s="45"/>
      <c r="D550" s="11"/>
      <c r="F550" s="45"/>
      <c r="G550" s="11"/>
    </row>
    <row r="551" spans="2:7" x14ac:dyDescent="0.25">
      <c r="B551" s="36"/>
      <c r="C551" s="45"/>
      <c r="D551" s="11"/>
      <c r="F551" s="45"/>
      <c r="G551" s="11"/>
    </row>
    <row r="552" spans="2:7" x14ac:dyDescent="0.25">
      <c r="B552" s="36"/>
      <c r="C552" s="45"/>
      <c r="D552" s="11"/>
      <c r="F552" s="45"/>
      <c r="G552" s="11"/>
    </row>
    <row r="553" spans="2:7" x14ac:dyDescent="0.25">
      <c r="B553" s="36"/>
      <c r="C553" s="45"/>
      <c r="D553" s="11"/>
      <c r="F553" s="45"/>
      <c r="G553" s="11"/>
    </row>
    <row r="554" spans="2:7" x14ac:dyDescent="0.25">
      <c r="B554" s="36"/>
      <c r="C554" s="45"/>
      <c r="D554" s="11"/>
      <c r="F554" s="45"/>
      <c r="G554" s="11"/>
    </row>
    <row r="555" spans="2:7" x14ac:dyDescent="0.25">
      <c r="B555" s="36"/>
      <c r="C555" s="45"/>
      <c r="D555" s="11"/>
      <c r="F555" s="45"/>
      <c r="G555" s="11"/>
    </row>
    <row r="556" spans="2:7" x14ac:dyDescent="0.25">
      <c r="B556" s="36"/>
      <c r="C556" s="45"/>
      <c r="D556" s="11"/>
      <c r="F556" s="45"/>
      <c r="G556" s="11"/>
    </row>
    <row r="557" spans="2:7" x14ac:dyDescent="0.25">
      <c r="B557" s="36"/>
      <c r="C557" s="45"/>
      <c r="D557" s="11"/>
      <c r="F557" s="45"/>
      <c r="G557" s="11"/>
    </row>
    <row r="558" spans="2:7" x14ac:dyDescent="0.25">
      <c r="B558" s="36"/>
      <c r="C558" s="45"/>
      <c r="D558" s="11"/>
      <c r="F558" s="45"/>
      <c r="G558" s="11"/>
    </row>
    <row r="559" spans="2:7" x14ac:dyDescent="0.25">
      <c r="B559" s="36"/>
      <c r="C559" s="45"/>
      <c r="D559" s="11"/>
      <c r="F559" s="45"/>
      <c r="G559" s="11"/>
    </row>
    <row r="560" spans="2:7" x14ac:dyDescent="0.25">
      <c r="B560" s="36"/>
      <c r="C560" s="45"/>
      <c r="D560" s="11"/>
      <c r="F560" s="45"/>
      <c r="G560" s="11"/>
    </row>
    <row r="561" spans="2:7" x14ac:dyDescent="0.25">
      <c r="B561" s="36"/>
      <c r="C561" s="45"/>
      <c r="D561" s="11"/>
      <c r="F561" s="45"/>
      <c r="G561" s="11"/>
    </row>
    <row r="562" spans="2:7" x14ac:dyDescent="0.25">
      <c r="B562" s="36"/>
      <c r="C562" s="45"/>
      <c r="D562" s="11"/>
      <c r="F562" s="45"/>
      <c r="G562" s="11"/>
    </row>
    <row r="563" spans="2:7" x14ac:dyDescent="0.25">
      <c r="B563" s="36"/>
      <c r="C563" s="45"/>
      <c r="D563" s="11"/>
      <c r="F563" s="45"/>
      <c r="G563" s="11"/>
    </row>
    <row r="564" spans="2:7" x14ac:dyDescent="0.25">
      <c r="B564" s="36"/>
      <c r="C564" s="45"/>
      <c r="D564" s="11"/>
      <c r="F564" s="45"/>
      <c r="G564" s="11"/>
    </row>
    <row r="565" spans="2:7" x14ac:dyDescent="0.25">
      <c r="B565" s="36"/>
      <c r="C565" s="45"/>
      <c r="D565" s="11"/>
      <c r="F565" s="45"/>
      <c r="G565" s="11"/>
    </row>
    <row r="566" spans="2:7" x14ac:dyDescent="0.25">
      <c r="B566" s="36"/>
      <c r="C566" s="45"/>
      <c r="D566" s="11"/>
      <c r="F566" s="45"/>
      <c r="G566" s="11"/>
    </row>
    <row r="567" spans="2:7" x14ac:dyDescent="0.25">
      <c r="B567" s="36"/>
      <c r="C567" s="45"/>
      <c r="D567" s="11"/>
      <c r="F567" s="45"/>
      <c r="G567" s="11"/>
    </row>
    <row r="568" spans="2:7" x14ac:dyDescent="0.25">
      <c r="B568" s="36"/>
      <c r="C568" s="45"/>
      <c r="D568" s="11"/>
      <c r="F568" s="45"/>
      <c r="G568" s="11"/>
    </row>
    <row r="569" spans="2:7" x14ac:dyDescent="0.25">
      <c r="B569" s="36"/>
      <c r="C569" s="45"/>
      <c r="D569" s="11"/>
      <c r="F569" s="45"/>
      <c r="G569" s="11"/>
    </row>
  </sheetData>
  <mergeCells count="9">
    <mergeCell ref="B229:D229"/>
    <mergeCell ref="F229:G229"/>
    <mergeCell ref="I119:J119"/>
    <mergeCell ref="I229:J229"/>
    <mergeCell ref="B8:D8"/>
    <mergeCell ref="F8:G8"/>
    <mergeCell ref="I8:J8"/>
    <mergeCell ref="F119:G119"/>
    <mergeCell ref="B119:D119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showGridLines="0" workbookViewId="0">
      <selection activeCell="C16" sqref="C16"/>
    </sheetView>
  </sheetViews>
  <sheetFormatPr defaultRowHeight="15" x14ac:dyDescent="0.25"/>
  <cols>
    <col min="1" max="1" width="1.85546875" customWidth="1"/>
    <col min="3" max="3" width="15.7109375" bestFit="1" customWidth="1"/>
    <col min="4" max="4" width="15.85546875" bestFit="1" customWidth="1"/>
    <col min="5" max="6" width="14.140625" bestFit="1" customWidth="1"/>
    <col min="7" max="7" width="10.7109375" bestFit="1" customWidth="1"/>
  </cols>
  <sheetData>
    <row r="1" spans="1:11" x14ac:dyDescent="0.25">
      <c r="A1" s="1"/>
      <c r="B1" s="1"/>
      <c r="C1" s="1"/>
      <c r="D1" s="1"/>
      <c r="E1" s="1"/>
      <c r="F1" s="1"/>
      <c r="G1" s="1"/>
      <c r="H1" s="97"/>
      <c r="I1" s="97"/>
      <c r="J1" s="97"/>
      <c r="K1" s="97"/>
    </row>
    <row r="2" spans="1:11" x14ac:dyDescent="0.25">
      <c r="A2" s="1"/>
      <c r="B2" s="1"/>
      <c r="C2" s="1"/>
      <c r="D2" s="1"/>
      <c r="E2" s="1"/>
      <c r="F2" s="1"/>
      <c r="G2" s="1"/>
      <c r="H2" s="97"/>
      <c r="I2" s="97"/>
      <c r="J2" s="97"/>
      <c r="K2" s="97"/>
    </row>
    <row r="3" spans="1:11" x14ac:dyDescent="0.25">
      <c r="A3" s="1"/>
      <c r="B3" s="1"/>
      <c r="C3" s="1"/>
      <c r="D3" s="1"/>
      <c r="E3" s="1"/>
      <c r="F3" s="1"/>
      <c r="G3" s="1"/>
      <c r="H3" s="97"/>
      <c r="I3" s="97"/>
      <c r="J3" s="97"/>
      <c r="K3" s="97"/>
    </row>
    <row r="4" spans="1:11" x14ac:dyDescent="0.25">
      <c r="A4" s="1"/>
      <c r="B4" s="1"/>
      <c r="C4" s="1"/>
      <c r="D4" s="1"/>
      <c r="E4" s="1"/>
      <c r="F4" s="1"/>
      <c r="G4" s="1"/>
      <c r="H4" s="97"/>
      <c r="I4" s="97"/>
      <c r="J4" s="97"/>
      <c r="K4" s="97"/>
    </row>
    <row r="7" spans="1:11" x14ac:dyDescent="0.25">
      <c r="B7" t="s">
        <v>78</v>
      </c>
      <c r="C7" t="s">
        <v>79</v>
      </c>
      <c r="D7" t="s">
        <v>81</v>
      </c>
      <c r="E7" t="s">
        <v>82</v>
      </c>
      <c r="F7" t="s">
        <v>83</v>
      </c>
      <c r="G7" t="s">
        <v>80</v>
      </c>
    </row>
    <row r="8" spans="1:11" x14ac:dyDescent="0.25">
      <c r="B8">
        <v>1</v>
      </c>
      <c r="C8" t="s">
        <v>284</v>
      </c>
      <c r="D8">
        <v>491.7</v>
      </c>
      <c r="E8">
        <v>614998.63</v>
      </c>
      <c r="F8">
        <v>303.43</v>
      </c>
      <c r="G8">
        <v>0</v>
      </c>
    </row>
    <row r="9" spans="1:11" x14ac:dyDescent="0.25">
      <c r="B9">
        <v>2</v>
      </c>
      <c r="C9" t="s">
        <v>285</v>
      </c>
      <c r="D9">
        <v>7087.5</v>
      </c>
      <c r="E9">
        <v>36850.69</v>
      </c>
      <c r="F9">
        <v>345.39</v>
      </c>
      <c r="G9">
        <v>0.08</v>
      </c>
    </row>
    <row r="10" spans="1:11" x14ac:dyDescent="0.25">
      <c r="B10">
        <v>3</v>
      </c>
      <c r="C10" t="s">
        <v>286</v>
      </c>
      <c r="D10">
        <v>365.8</v>
      </c>
      <c r="E10">
        <v>6213.52</v>
      </c>
      <c r="F10">
        <v>0</v>
      </c>
      <c r="G10">
        <v>0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"/>
  <sheetViews>
    <sheetView showGridLines="0" workbookViewId="0">
      <selection activeCell="C9" sqref="C9"/>
    </sheetView>
  </sheetViews>
  <sheetFormatPr defaultRowHeight="15" x14ac:dyDescent="0.25"/>
  <cols>
    <col min="1" max="1" width="1.85546875" customWidth="1"/>
    <col min="5" max="5" width="21.85546875" bestFit="1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97"/>
      <c r="K1" s="97"/>
      <c r="L1" s="6"/>
      <c r="M1" s="6"/>
      <c r="N1" s="6"/>
      <c r="O1" s="6"/>
      <c r="P1" s="6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97"/>
      <c r="K2" s="97"/>
      <c r="L2" s="6"/>
      <c r="M2" s="6"/>
      <c r="N2" s="6"/>
      <c r="O2" s="6"/>
      <c r="P2" s="6"/>
    </row>
    <row r="3" spans="1:16" x14ac:dyDescent="0.25">
      <c r="A3" s="1"/>
      <c r="B3" s="1"/>
      <c r="C3" s="1"/>
      <c r="D3" s="1"/>
      <c r="E3" s="1"/>
      <c r="F3" s="1"/>
      <c r="G3" s="1"/>
      <c r="H3" s="1"/>
      <c r="I3" s="1"/>
      <c r="J3" s="97"/>
      <c r="K3" s="97"/>
      <c r="L3" s="6"/>
      <c r="M3" s="6"/>
      <c r="N3" s="6"/>
      <c r="O3" s="6"/>
      <c r="P3" s="6"/>
    </row>
    <row r="4" spans="1:16" x14ac:dyDescent="0.25">
      <c r="A4" s="1"/>
      <c r="B4" s="1"/>
      <c r="C4" s="1"/>
      <c r="D4" s="1"/>
      <c r="E4" s="1"/>
      <c r="F4" s="1"/>
      <c r="G4" s="1"/>
      <c r="H4" s="1"/>
      <c r="I4" s="1"/>
      <c r="J4" s="97"/>
      <c r="K4" s="97"/>
      <c r="L4" s="6"/>
      <c r="M4" s="6"/>
      <c r="N4" s="6"/>
      <c r="O4" s="6"/>
      <c r="P4" s="6"/>
    </row>
    <row r="6" spans="1:16" x14ac:dyDescent="0.25">
      <c r="B6" s="37" t="s">
        <v>86</v>
      </c>
    </row>
    <row r="8" spans="1:16" x14ac:dyDescent="0.25">
      <c r="B8" s="51" t="s">
        <v>84</v>
      </c>
      <c r="C8" s="52" t="s">
        <v>85</v>
      </c>
    </row>
    <row r="9" spans="1:16" x14ac:dyDescent="0.25">
      <c r="B9" s="49">
        <v>2000</v>
      </c>
      <c r="C9" s="50">
        <v>-0.14649999999999999</v>
      </c>
      <c r="E9" t="s">
        <v>87</v>
      </c>
      <c r="F9" s="20">
        <f>AVERAGE(C9:C32)</f>
        <v>0.15609166666666666</v>
      </c>
    </row>
    <row r="10" spans="1:16" ht="17.25" x14ac:dyDescent="0.25">
      <c r="B10" s="49">
        <v>2001</v>
      </c>
      <c r="C10" s="50">
        <v>-0.1618</v>
      </c>
      <c r="E10" t="s">
        <v>88</v>
      </c>
      <c r="F10" s="20" t="s">
        <v>89</v>
      </c>
    </row>
    <row r="11" spans="1:16" x14ac:dyDescent="0.25">
      <c r="B11" s="49">
        <v>2002</v>
      </c>
      <c r="C11" s="50">
        <v>3.2500000000000001E-2</v>
      </c>
      <c r="E11" s="53" t="s">
        <v>90</v>
      </c>
      <c r="F11" s="54">
        <f>SUM(F9:F10)</f>
        <v>0.15609166666666666</v>
      </c>
    </row>
    <row r="12" spans="1:16" x14ac:dyDescent="0.25">
      <c r="B12" s="49">
        <v>2003</v>
      </c>
      <c r="C12" s="50">
        <v>0.71900000000000008</v>
      </c>
    </row>
    <row r="13" spans="1:16" x14ac:dyDescent="0.25">
      <c r="B13" s="49">
        <v>2004</v>
      </c>
      <c r="C13" s="50">
        <v>0.10679999999999999</v>
      </c>
    </row>
    <row r="14" spans="1:16" x14ac:dyDescent="0.25">
      <c r="B14" s="49">
        <v>2005</v>
      </c>
      <c r="C14" s="50">
        <v>0.36340000000000006</v>
      </c>
    </row>
    <row r="15" spans="1:16" x14ac:dyDescent="0.25">
      <c r="B15" s="49">
        <v>2006</v>
      </c>
      <c r="C15" s="50">
        <v>0.39829999999999999</v>
      </c>
    </row>
    <row r="16" spans="1:16" x14ac:dyDescent="0.25">
      <c r="B16" s="49">
        <v>2007</v>
      </c>
      <c r="C16" s="50">
        <v>0.54770000000000008</v>
      </c>
    </row>
    <row r="17" spans="2:3" x14ac:dyDescent="0.25">
      <c r="B17" s="49">
        <v>2008</v>
      </c>
      <c r="C17" s="50">
        <v>-0.51790000000000003</v>
      </c>
    </row>
    <row r="18" spans="2:3" x14ac:dyDescent="0.25">
      <c r="B18" s="49">
        <v>2009</v>
      </c>
      <c r="C18" s="50">
        <v>0.75760000000000005</v>
      </c>
    </row>
    <row r="19" spans="2:3" x14ac:dyDescent="0.25">
      <c r="B19" s="49">
        <v>2010</v>
      </c>
      <c r="C19" s="50">
        <v>0.17949999999999999</v>
      </c>
    </row>
    <row r="20" spans="2:3" x14ac:dyDescent="0.25">
      <c r="B20" s="49">
        <v>2011</v>
      </c>
      <c r="C20" s="50">
        <v>-0.2462</v>
      </c>
    </row>
    <row r="21" spans="2:3" x14ac:dyDescent="0.25">
      <c r="B21" s="49">
        <v>2012</v>
      </c>
      <c r="C21" s="50">
        <v>0.27699999999999997</v>
      </c>
    </row>
    <row r="22" spans="2:3" x14ac:dyDescent="0.25">
      <c r="B22" s="49">
        <v>2013</v>
      </c>
      <c r="C22" s="50">
        <v>6.7599999999999993E-2</v>
      </c>
    </row>
    <row r="23" spans="2:3" x14ac:dyDescent="0.25">
      <c r="B23" s="49">
        <v>2014</v>
      </c>
      <c r="C23" s="50">
        <v>0.31390000000000001</v>
      </c>
    </row>
    <row r="24" spans="2:3" x14ac:dyDescent="0.25">
      <c r="B24" s="49">
        <v>2015</v>
      </c>
      <c r="C24" s="50">
        <v>-4.0599999999999997E-2</v>
      </c>
    </row>
    <row r="25" spans="2:3" x14ac:dyDescent="0.25">
      <c r="B25" s="49">
        <v>2016</v>
      </c>
      <c r="C25" s="50">
        <v>3.0099999999999998E-2</v>
      </c>
    </row>
    <row r="26" spans="2:3" x14ac:dyDescent="0.25">
      <c r="B26" s="49">
        <v>2017</v>
      </c>
      <c r="C26" s="50">
        <v>0.28649999999999998</v>
      </c>
    </row>
    <row r="27" spans="2:3" x14ac:dyDescent="0.25">
      <c r="B27" s="49">
        <v>2018</v>
      </c>
      <c r="C27" s="50">
        <v>3.15E-2</v>
      </c>
    </row>
    <row r="28" spans="2:3" x14ac:dyDescent="0.25">
      <c r="B28" s="49">
        <v>2019</v>
      </c>
      <c r="C28" s="50">
        <v>0.1202</v>
      </c>
    </row>
    <row r="29" spans="2:3" x14ac:dyDescent="0.25">
      <c r="B29" s="49">
        <v>2020</v>
      </c>
      <c r="C29" s="50">
        <v>0.14899999999999999</v>
      </c>
    </row>
    <row r="30" spans="2:3" x14ac:dyDescent="0.25">
      <c r="B30" s="49">
        <v>2021</v>
      </c>
      <c r="C30" s="50">
        <v>0.2412</v>
      </c>
    </row>
    <row r="31" spans="2:3" x14ac:dyDescent="0.25">
      <c r="B31" s="49">
        <v>2022</v>
      </c>
      <c r="C31" s="50">
        <v>4.3200000000000002E-2</v>
      </c>
    </row>
    <row r="32" spans="2:3" x14ac:dyDescent="0.25">
      <c r="B32" s="49">
        <v>2023</v>
      </c>
      <c r="C32" s="50">
        <v>0.19420000000000001</v>
      </c>
    </row>
    <row r="33" spans="2:2" x14ac:dyDescent="0.25">
      <c r="B33" s="49"/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6"/>
  <sheetViews>
    <sheetView showGridLines="0" topLeftCell="A10" workbookViewId="0">
      <selection activeCell="B1" sqref="B1"/>
    </sheetView>
  </sheetViews>
  <sheetFormatPr defaultRowHeight="15" x14ac:dyDescent="0.25"/>
  <cols>
    <col min="1" max="1" width="1.85546875" customWidth="1"/>
    <col min="8" max="8" width="9.140625" bestFit="1" customWidth="1"/>
    <col min="9" max="9" width="14.28515625" bestFit="1" customWidth="1"/>
    <col min="10" max="10" width="9.28515625" customWidth="1"/>
    <col min="11" max="11" width="10.85546875" bestFit="1" customWidth="1"/>
  </cols>
  <sheetData>
    <row r="1" spans="1:1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97"/>
    </row>
    <row r="2" spans="1:1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97"/>
    </row>
    <row r="3" spans="1:1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97"/>
    </row>
    <row r="4" spans="1:1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97"/>
    </row>
    <row r="6" spans="1:11" x14ac:dyDescent="0.25">
      <c r="A6" t="s">
        <v>94</v>
      </c>
      <c r="B6" s="93" t="s">
        <v>213</v>
      </c>
      <c r="C6" s="111"/>
      <c r="D6" s="111"/>
      <c r="E6" s="111"/>
      <c r="F6" s="112">
        <f>'Raw FS'!J$2</f>
        <v>43891</v>
      </c>
      <c r="G6" s="112">
        <f>'Raw FS'!K$2</f>
        <v>44256</v>
      </c>
      <c r="H6" s="112">
        <f>'Raw FS'!L$2</f>
        <v>44621</v>
      </c>
      <c r="I6" s="112">
        <f>'Raw FS'!M$2</f>
        <v>44986</v>
      </c>
      <c r="J6" s="112">
        <f>'Raw FS'!N$2</f>
        <v>45352</v>
      </c>
    </row>
    <row r="8" spans="1:11" x14ac:dyDescent="0.25">
      <c r="B8" s="37" t="s">
        <v>214</v>
      </c>
    </row>
    <row r="9" spans="1:11" x14ac:dyDescent="0.25">
      <c r="B9" s="101" t="str">
        <f>'Raw FS'!B36</f>
        <v>Inventories</v>
      </c>
      <c r="C9" s="101"/>
      <c r="D9" s="101"/>
      <c r="E9" s="101"/>
      <c r="F9" s="116">
        <f>'Raw FS'!J36</f>
        <v>8879</v>
      </c>
      <c r="G9" s="116">
        <f>'Raw FS'!K36</f>
        <v>10397</v>
      </c>
      <c r="H9" s="116">
        <f>'Raw FS'!L36</f>
        <v>10864</v>
      </c>
      <c r="I9" s="116">
        <f>'Raw FS'!M36</f>
        <v>11771</v>
      </c>
      <c r="J9" s="116">
        <f>'Raw FS'!N36</f>
        <v>14153</v>
      </c>
    </row>
    <row r="10" spans="1:11" x14ac:dyDescent="0.25">
      <c r="B10" s="101" t="str">
        <f>'Raw FS'!B37</f>
        <v>Trade receivables</v>
      </c>
      <c r="C10" s="101"/>
      <c r="D10" s="101"/>
      <c r="E10" s="101"/>
      <c r="F10" s="116">
        <f>'Raw FS'!J37</f>
        <v>2562</v>
      </c>
      <c r="G10" s="116">
        <f>'Raw FS'!K37</f>
        <v>2502</v>
      </c>
      <c r="H10" s="116">
        <f>'Raw FS'!L37</f>
        <v>2462</v>
      </c>
      <c r="I10" s="116">
        <f>'Raw FS'!M37</f>
        <v>2956</v>
      </c>
      <c r="J10" s="116">
        <f>'Raw FS'!N37</f>
        <v>4026</v>
      </c>
    </row>
    <row r="11" spans="1:11" x14ac:dyDescent="0.25">
      <c r="B11" s="101" t="str">
        <f>'Raw FS'!B39</f>
        <v>Short term loans</v>
      </c>
      <c r="C11" s="101"/>
      <c r="D11" s="101"/>
      <c r="E11" s="101"/>
      <c r="F11" s="116">
        <f>'Raw FS'!J39</f>
        <v>6</v>
      </c>
      <c r="G11" s="116">
        <f>'Raw FS'!K39</f>
        <v>7</v>
      </c>
      <c r="H11" s="116">
        <f>'Raw FS'!L39</f>
        <v>11</v>
      </c>
      <c r="I11" s="116">
        <f>'Raw FS'!M39</f>
        <v>13</v>
      </c>
      <c r="J11" s="116">
        <f>'Raw FS'!N39</f>
        <v>31</v>
      </c>
    </row>
    <row r="12" spans="1:11" x14ac:dyDescent="0.25">
      <c r="B12" t="str">
        <f>'Raw FS'!B40</f>
        <v>Other asset items</v>
      </c>
      <c r="F12" s="115">
        <f>'Raw FS'!J40</f>
        <v>4952</v>
      </c>
      <c r="G12" s="115">
        <f>'Raw FS'!K40</f>
        <v>4015</v>
      </c>
      <c r="H12" s="115">
        <f>'Raw FS'!L40</f>
        <v>6906</v>
      </c>
      <c r="I12" s="115">
        <f>'Raw FS'!M40</f>
        <v>7941</v>
      </c>
      <c r="J12" s="115">
        <f>'Raw FS'!N40</f>
        <v>4531</v>
      </c>
    </row>
    <row r="13" spans="1:11" x14ac:dyDescent="0.25">
      <c r="B13" s="113" t="s">
        <v>177</v>
      </c>
      <c r="C13" s="114"/>
      <c r="D13" s="114"/>
      <c r="E13" s="114"/>
      <c r="F13" s="117">
        <f>SUM(F9:F12)</f>
        <v>16399</v>
      </c>
      <c r="G13" s="117">
        <f>SUM(G9:G12)</f>
        <v>16921</v>
      </c>
      <c r="H13" s="117">
        <f>SUM(H9:H12)</f>
        <v>20243</v>
      </c>
      <c r="I13" s="117">
        <f>SUM(I9:I12)</f>
        <v>22681</v>
      </c>
      <c r="J13" s="117">
        <f>SUM(J9:J12)</f>
        <v>22741</v>
      </c>
    </row>
    <row r="14" spans="1:11" x14ac:dyDescent="0.25">
      <c r="F14" s="115"/>
      <c r="G14" s="115"/>
      <c r="H14" s="115"/>
      <c r="I14" s="115"/>
      <c r="J14" s="115"/>
    </row>
    <row r="15" spans="1:11" x14ac:dyDescent="0.25">
      <c r="B15" s="37" t="s">
        <v>215</v>
      </c>
      <c r="F15" s="115"/>
      <c r="G15" s="115"/>
      <c r="H15" s="115"/>
      <c r="I15" s="115"/>
      <c r="J15" s="115"/>
    </row>
    <row r="16" spans="1:11" x14ac:dyDescent="0.25">
      <c r="B16" s="101" t="str">
        <f>'Raw FS'!B13</f>
        <v>Trade Payables</v>
      </c>
      <c r="C16" s="101"/>
      <c r="D16" s="101"/>
      <c r="E16" s="101"/>
      <c r="F16" s="116">
        <f>'Raw FS'!J13</f>
        <v>3630</v>
      </c>
      <c r="G16" s="116">
        <f>'Raw FS'!K13</f>
        <v>4319</v>
      </c>
      <c r="H16" s="116">
        <f>'Raw FS'!L13</f>
        <v>4417</v>
      </c>
      <c r="I16" s="116">
        <f>'Raw FS'!M13</f>
        <v>4659</v>
      </c>
      <c r="J16" s="116">
        <f>'Raw FS'!N13</f>
        <v>4798</v>
      </c>
    </row>
    <row r="17" spans="1:10" x14ac:dyDescent="0.25">
      <c r="B17" s="101" t="str">
        <f>'Raw FS'!B14</f>
        <v>Advance from Customers</v>
      </c>
      <c r="C17" s="101"/>
      <c r="D17" s="101"/>
      <c r="E17" s="101"/>
      <c r="F17" s="116">
        <f>'Raw FS'!J14</f>
        <v>703</v>
      </c>
      <c r="G17" s="116">
        <f>'Raw FS'!K14</f>
        <v>811</v>
      </c>
      <c r="H17" s="116">
        <f>'Raw FS'!L14</f>
        <v>1278</v>
      </c>
      <c r="I17" s="116">
        <f>'Raw FS'!M14</f>
        <v>1295</v>
      </c>
      <c r="J17" s="116">
        <f>'Raw FS'!N14</f>
        <v>886</v>
      </c>
    </row>
    <row r="18" spans="1:10" x14ac:dyDescent="0.25">
      <c r="B18" s="101" t="str">
        <f>'Raw FS'!B15</f>
        <v>Other liability items</v>
      </c>
      <c r="C18" s="101"/>
      <c r="D18" s="101"/>
      <c r="E18" s="101"/>
      <c r="F18" s="116">
        <f>'Raw FS'!J15</f>
        <v>7050</v>
      </c>
      <c r="G18" s="116">
        <f>'Raw FS'!K15</f>
        <v>7666</v>
      </c>
      <c r="H18" s="116">
        <f>'Raw FS'!L15</f>
        <v>8429</v>
      </c>
      <c r="I18" s="116">
        <f>'Raw FS'!M15</f>
        <v>10032</v>
      </c>
      <c r="J18" s="116">
        <f>'Raw FS'!N15</f>
        <v>10877</v>
      </c>
    </row>
    <row r="19" spans="1:10" x14ac:dyDescent="0.25">
      <c r="B19" s="113" t="s">
        <v>216</v>
      </c>
      <c r="C19" s="114"/>
      <c r="D19" s="114"/>
      <c r="E19" s="114"/>
      <c r="F19" s="117">
        <f>SUM(F16:F18)</f>
        <v>11383</v>
      </c>
      <c r="G19" s="117">
        <f>SUM(G16:G18)</f>
        <v>12796</v>
      </c>
      <c r="H19" s="117">
        <f>SUM(H16:H18)</f>
        <v>14124</v>
      </c>
      <c r="I19" s="117">
        <f>SUM(I16:I18)</f>
        <v>15986</v>
      </c>
      <c r="J19" s="117">
        <f>SUM(J16:J18)</f>
        <v>16561</v>
      </c>
    </row>
    <row r="21" spans="1:10" ht="15.75" thickBot="1" x14ac:dyDescent="0.3">
      <c r="A21" t="s">
        <v>94</v>
      </c>
      <c r="B21" s="119" t="s">
        <v>217</v>
      </c>
      <c r="C21" s="119"/>
      <c r="D21" s="119"/>
      <c r="E21" s="119"/>
      <c r="F21" s="120">
        <f>F13-F19</f>
        <v>5016</v>
      </c>
      <c r="G21" s="120">
        <f>G13-G19</f>
        <v>4125</v>
      </c>
      <c r="H21" s="120">
        <f>H13-H19</f>
        <v>6119</v>
      </c>
      <c r="I21" s="120">
        <f>I13-I19</f>
        <v>6695</v>
      </c>
      <c r="J21" s="120">
        <f>J13-J19</f>
        <v>6180</v>
      </c>
    </row>
    <row r="23" spans="1:10" x14ac:dyDescent="0.25">
      <c r="B23" s="37" t="s">
        <v>218</v>
      </c>
      <c r="F23" s="115"/>
      <c r="G23" s="115"/>
      <c r="H23" s="115"/>
      <c r="I23" s="115"/>
      <c r="J23" s="115"/>
    </row>
    <row r="24" spans="1:10" x14ac:dyDescent="0.25">
      <c r="B24" s="101" t="str">
        <f>'Raw FS'!B19</f>
        <v>Land</v>
      </c>
      <c r="C24" s="101"/>
      <c r="D24" s="101"/>
      <c r="E24" s="101"/>
      <c r="F24" s="116">
        <f>'Raw FS'!J19</f>
        <v>2797</v>
      </c>
      <c r="G24" s="116">
        <f>'Raw FS'!K19</f>
        <v>2889</v>
      </c>
      <c r="H24" s="116">
        <f>'Raw FS'!L19</f>
        <v>2829</v>
      </c>
      <c r="I24" s="116">
        <f>'Raw FS'!M19</f>
        <v>2830</v>
      </c>
      <c r="J24" s="116">
        <f>'Raw FS'!N19</f>
        <v>2865</v>
      </c>
    </row>
    <row r="25" spans="1:10" x14ac:dyDescent="0.25">
      <c r="B25" s="101" t="str">
        <f>'Raw FS'!B20</f>
        <v>Building</v>
      </c>
      <c r="C25" s="101"/>
      <c r="D25" s="101"/>
      <c r="E25" s="101"/>
      <c r="F25" s="116">
        <f>'Raw FS'!J20</f>
        <v>8161</v>
      </c>
      <c r="G25" s="116">
        <f>'Raw FS'!K20</f>
        <v>8387</v>
      </c>
      <c r="H25" s="116">
        <f>'Raw FS'!L20</f>
        <v>9100</v>
      </c>
      <c r="I25" s="116">
        <f>'Raw FS'!M20</f>
        <v>9789</v>
      </c>
      <c r="J25" s="116">
        <f>'Raw FS'!N20</f>
        <v>10944</v>
      </c>
    </row>
    <row r="26" spans="1:10" x14ac:dyDescent="0.25">
      <c r="B26" s="101" t="str">
        <f>'Raw FS'!B21</f>
        <v>Plant Machinery</v>
      </c>
      <c r="C26" s="101"/>
      <c r="D26" s="101"/>
      <c r="E26" s="101"/>
      <c r="F26" s="116">
        <f>'Raw FS'!J21</f>
        <v>14625</v>
      </c>
      <c r="G26" s="116">
        <f>'Raw FS'!K21</f>
        <v>15307</v>
      </c>
      <c r="H26" s="116">
        <f>'Raw FS'!L21</f>
        <v>16912</v>
      </c>
      <c r="I26" s="116">
        <f>'Raw FS'!M21</f>
        <v>18480</v>
      </c>
      <c r="J26" s="116">
        <f>'Raw FS'!N21</f>
        <v>20718</v>
      </c>
    </row>
    <row r="27" spans="1:10" x14ac:dyDescent="0.25">
      <c r="B27" s="101" t="str">
        <f>'Raw FS'!B22</f>
        <v>Equipments</v>
      </c>
      <c r="C27" s="101"/>
      <c r="D27" s="101"/>
      <c r="E27" s="101"/>
      <c r="F27" s="116">
        <f>'Raw FS'!J22</f>
        <v>40</v>
      </c>
      <c r="G27" s="116">
        <f>'Raw FS'!K22</f>
        <v>41</v>
      </c>
      <c r="H27" s="116">
        <f>'Raw FS'!L22</f>
        <v>44</v>
      </c>
      <c r="I27" s="116">
        <f>'Raw FS'!M22</f>
        <v>44</v>
      </c>
      <c r="J27" s="116">
        <f>'Raw FS'!N22</f>
        <v>53</v>
      </c>
    </row>
    <row r="28" spans="1:10" x14ac:dyDescent="0.25">
      <c r="B28" s="101" t="str">
        <f>'Raw FS'!B23</f>
        <v>Furniture n fittings</v>
      </c>
      <c r="C28" s="101"/>
      <c r="D28" s="101"/>
      <c r="E28" s="101"/>
      <c r="F28" s="116">
        <f>'Raw FS'!J23</f>
        <v>810</v>
      </c>
      <c r="G28" s="116">
        <f>'Raw FS'!K23</f>
        <v>833</v>
      </c>
      <c r="H28" s="116">
        <f>'Raw FS'!L23</f>
        <v>907</v>
      </c>
      <c r="I28" s="116">
        <f>'Raw FS'!M23</f>
        <v>1000</v>
      </c>
      <c r="J28" s="116">
        <f>'Raw FS'!N23</f>
        <v>1068</v>
      </c>
    </row>
    <row r="29" spans="1:10" x14ac:dyDescent="0.25">
      <c r="B29" s="101" t="str">
        <f>'Raw FS'!B24</f>
        <v>Railway sidings</v>
      </c>
      <c r="C29" s="101"/>
      <c r="D29" s="101"/>
      <c r="E29" s="101"/>
      <c r="F29" s="116">
        <f>'Raw FS'!J24</f>
        <v>2</v>
      </c>
      <c r="G29" s="116">
        <f>'Raw FS'!K24</f>
        <v>2</v>
      </c>
      <c r="H29" s="116">
        <f>'Raw FS'!L24</f>
        <v>2</v>
      </c>
      <c r="I29" s="116">
        <f>'Raw FS'!M24</f>
        <v>2</v>
      </c>
      <c r="J29" s="116">
        <f>'Raw FS'!N24</f>
        <v>2</v>
      </c>
    </row>
    <row r="30" spans="1:10" x14ac:dyDescent="0.25">
      <c r="B30" s="101" t="str">
        <f>'Raw FS'!B25</f>
        <v>Vehicles</v>
      </c>
      <c r="C30" s="101"/>
      <c r="D30" s="101"/>
      <c r="E30" s="101"/>
      <c r="F30" s="116">
        <f>'Raw FS'!J25</f>
        <v>184</v>
      </c>
      <c r="G30" s="116">
        <f>'Raw FS'!K25</f>
        <v>180</v>
      </c>
      <c r="H30" s="116">
        <f>'Raw FS'!L25</f>
        <v>179</v>
      </c>
      <c r="I30" s="116">
        <f>'Raw FS'!M25</f>
        <v>189</v>
      </c>
      <c r="J30" s="116">
        <f>'Raw FS'!N25</f>
        <v>192</v>
      </c>
    </row>
    <row r="31" spans="1:10" x14ac:dyDescent="0.25">
      <c r="B31" s="101" t="str">
        <f>'Raw FS'!B26</f>
        <v>Intangible Assets</v>
      </c>
      <c r="C31" s="101"/>
      <c r="D31" s="101"/>
      <c r="E31" s="101"/>
      <c r="F31" s="116">
        <f>'Raw FS'!J26</f>
        <v>684</v>
      </c>
      <c r="G31" s="116">
        <f>'Raw FS'!K26</f>
        <v>2734</v>
      </c>
      <c r="H31" s="116">
        <f>'Raw FS'!L26</f>
        <v>2744</v>
      </c>
      <c r="I31" s="116">
        <f>'Raw FS'!M26</f>
        <v>3490</v>
      </c>
      <c r="J31" s="116">
        <f>'Raw FS'!N26</f>
        <v>3505</v>
      </c>
    </row>
    <row r="32" spans="1:10" x14ac:dyDescent="0.25">
      <c r="B32" s="101" t="str">
        <f>'Raw FS'!B27</f>
        <v>Other fixed assets</v>
      </c>
      <c r="C32" s="101"/>
      <c r="D32" s="101"/>
      <c r="E32" s="101"/>
      <c r="F32" s="116">
        <f>'Raw FS'!J27</f>
        <v>663</v>
      </c>
      <c r="G32" s="116">
        <f>'Raw FS'!K27</f>
        <v>716</v>
      </c>
      <c r="H32" s="116">
        <f>'Raw FS'!L27</f>
        <v>719</v>
      </c>
      <c r="I32" s="116">
        <f>'Raw FS'!M27</f>
        <v>786</v>
      </c>
      <c r="J32" s="116">
        <f>'Raw FS'!N27</f>
        <v>841</v>
      </c>
    </row>
    <row r="33" spans="1:10" x14ac:dyDescent="0.25">
      <c r="B33" s="113" t="s">
        <v>204</v>
      </c>
      <c r="C33" s="114"/>
      <c r="D33" s="114"/>
      <c r="E33" s="114"/>
      <c r="F33" s="117">
        <f>SUM(F24:F32)</f>
        <v>27966</v>
      </c>
      <c r="G33" s="117">
        <f>SUM(G24:G32)</f>
        <v>31089</v>
      </c>
      <c r="H33" s="117">
        <f>SUM(H24:H32)</f>
        <v>33436</v>
      </c>
      <c r="I33" s="117">
        <f>SUM(I24:I32)</f>
        <v>36610</v>
      </c>
      <c r="J33" s="117">
        <f>SUM(J24:J32)</f>
        <v>40188</v>
      </c>
    </row>
    <row r="34" spans="1:10" x14ac:dyDescent="0.25">
      <c r="B34" t="s">
        <v>219</v>
      </c>
      <c r="F34" s="115">
        <f>'Raw FS'!J29</f>
        <v>6252</v>
      </c>
      <c r="G34" s="115">
        <f>'Raw FS'!K29</f>
        <v>7790</v>
      </c>
      <c r="H34" s="115">
        <f>'Raw FS'!L29</f>
        <v>9204</v>
      </c>
      <c r="I34" s="115">
        <f>'Raw FS'!M29</f>
        <v>10757</v>
      </c>
      <c r="J34" s="115">
        <f>'Raw FS'!N29</f>
        <v>12368</v>
      </c>
    </row>
    <row r="35" spans="1:10" ht="15.75" thickBot="1" x14ac:dyDescent="0.3">
      <c r="A35" t="s">
        <v>94</v>
      </c>
      <c r="B35" s="119" t="s">
        <v>220</v>
      </c>
      <c r="C35" s="119"/>
      <c r="D35" s="119"/>
      <c r="E35" s="119"/>
      <c r="F35" s="120">
        <f>SUM(F33:F34)</f>
        <v>34218</v>
      </c>
      <c r="G35" s="120">
        <f>SUM(G33:G34)</f>
        <v>38879</v>
      </c>
      <c r="H35" s="120">
        <f>SUM(H33:H34)</f>
        <v>42640</v>
      </c>
      <c r="I35" s="120">
        <f>SUM(I33:I34)</f>
        <v>47367</v>
      </c>
      <c r="J35" s="120">
        <f>SUM(J33:J34)</f>
        <v>52556</v>
      </c>
    </row>
    <row r="37" spans="1:10" x14ac:dyDescent="0.25">
      <c r="A37" t="s">
        <v>94</v>
      </c>
      <c r="B37" s="121" t="s">
        <v>221</v>
      </c>
      <c r="F37" s="118">
        <f>F35+F21</f>
        <v>39234</v>
      </c>
      <c r="G37" s="118">
        <f>G35+G21</f>
        <v>43004</v>
      </c>
      <c r="H37" s="118">
        <f>H35+H21</f>
        <v>48759</v>
      </c>
      <c r="I37" s="118">
        <f>I35+I21</f>
        <v>54062</v>
      </c>
      <c r="J37" s="118">
        <f>J35+J21</f>
        <v>58736</v>
      </c>
    </row>
    <row r="38" spans="1:10" x14ac:dyDescent="0.25">
      <c r="B38" s="37" t="s">
        <v>222</v>
      </c>
      <c r="C38" s="37"/>
      <c r="D38" s="37"/>
      <c r="E38" s="37"/>
      <c r="F38" s="118">
        <f>'Historical FS'!H27+'Historical FS'!H21</f>
        <v>17698.63</v>
      </c>
      <c r="G38" s="118">
        <f>'Historical FS'!I27+'Historical FS'!I21</f>
        <v>15419.189999999999</v>
      </c>
      <c r="H38" s="118">
        <f>'Historical FS'!J27+'Historical FS'!J21</f>
        <v>18890.739999999994</v>
      </c>
      <c r="I38" s="118">
        <f>'Historical FS'!K27+'Historical FS'!K21</f>
        <v>23895.249999999996</v>
      </c>
      <c r="J38" s="118">
        <f>'Historical FS'!L27+'Historical FS'!L21</f>
        <v>24416.170000000006</v>
      </c>
    </row>
    <row r="40" spans="1:10" ht="15.75" thickBot="1" x14ac:dyDescent="0.3">
      <c r="A40" t="s">
        <v>94</v>
      </c>
      <c r="B40" s="119" t="s">
        <v>223</v>
      </c>
      <c r="C40" s="122"/>
      <c r="D40" s="122"/>
      <c r="E40" s="122"/>
      <c r="F40" s="123">
        <f>F38/F37</f>
        <v>0.45110439924555235</v>
      </c>
      <c r="G40" s="123">
        <f>G38/G37</f>
        <v>0.35855246023625709</v>
      </c>
      <c r="H40" s="123">
        <f>H38/H37</f>
        <v>0.38743083328206063</v>
      </c>
      <c r="I40" s="123">
        <f>I38/I37</f>
        <v>0.44199715141874135</v>
      </c>
      <c r="J40" s="123">
        <f>J38/J37</f>
        <v>0.41569344184146018</v>
      </c>
    </row>
    <row r="42" spans="1:10" x14ac:dyDescent="0.25">
      <c r="A42" t="s">
        <v>94</v>
      </c>
      <c r="B42" s="93" t="s">
        <v>224</v>
      </c>
      <c r="C42" s="111"/>
      <c r="D42" s="111"/>
      <c r="E42" s="111"/>
      <c r="F42" s="112">
        <f>'Raw FS'!J$2</f>
        <v>43891</v>
      </c>
      <c r="G42" s="112">
        <f>'Raw FS'!K$2</f>
        <v>44256</v>
      </c>
      <c r="H42" s="112">
        <f>'Raw FS'!L$2</f>
        <v>44621</v>
      </c>
      <c r="I42" s="112">
        <f>'Raw FS'!M$2</f>
        <v>44986</v>
      </c>
      <c r="J42" s="112">
        <f>'Raw FS'!N$2</f>
        <v>45352</v>
      </c>
    </row>
    <row r="44" spans="1:10" x14ac:dyDescent="0.25">
      <c r="B44" s="128" t="s">
        <v>225</v>
      </c>
      <c r="C44" s="128"/>
      <c r="D44" s="128"/>
      <c r="E44" s="128"/>
      <c r="F44" s="129">
        <f>-SUM('Raw FS'!J54:J55)</f>
        <v>2414</v>
      </c>
      <c r="G44" s="129">
        <f>-SUM('Raw FS'!K54:K55)</f>
        <v>1834</v>
      </c>
      <c r="H44" s="129">
        <f>-SUM('Raw FS'!L54:L55)</f>
        <v>2009</v>
      </c>
      <c r="I44" s="129">
        <f>-SUM('Raw FS'!M54:M55)</f>
        <v>2694</v>
      </c>
      <c r="J44" s="129">
        <f>-SUM('Raw FS'!N54:N55)</f>
        <v>3456</v>
      </c>
    </row>
    <row r="45" spans="1:10" x14ac:dyDescent="0.25">
      <c r="B45" s="128" t="s">
        <v>250</v>
      </c>
      <c r="C45" s="128"/>
      <c r="D45" s="128"/>
      <c r="E45" s="128"/>
      <c r="F45" s="129"/>
      <c r="G45" s="129">
        <f>G21-F21</f>
        <v>-891</v>
      </c>
      <c r="H45" s="129">
        <f>H21-G21</f>
        <v>1994</v>
      </c>
      <c r="I45" s="129">
        <f>I21-H21</f>
        <v>576</v>
      </c>
      <c r="J45" s="129">
        <f>J21-I21</f>
        <v>-515</v>
      </c>
    </row>
    <row r="46" spans="1:10" x14ac:dyDescent="0.25">
      <c r="B46" s="128"/>
      <c r="C46" s="128"/>
      <c r="D46" s="128"/>
      <c r="E46" s="128"/>
      <c r="F46" s="129"/>
      <c r="G46" s="129"/>
      <c r="H46" s="129"/>
      <c r="I46" s="129"/>
      <c r="J46" s="129"/>
    </row>
    <row r="47" spans="1:10" x14ac:dyDescent="0.25">
      <c r="B47" s="128" t="s">
        <v>222</v>
      </c>
      <c r="C47" s="128"/>
      <c r="D47" s="128"/>
      <c r="E47" s="128"/>
      <c r="F47" s="129">
        <f>F38</f>
        <v>17698.63</v>
      </c>
      <c r="G47" s="129">
        <f>G38</f>
        <v>15419.189999999999</v>
      </c>
      <c r="H47" s="129">
        <f>H38</f>
        <v>18890.739999999994</v>
      </c>
      <c r="I47" s="129">
        <f>I38</f>
        <v>23895.249999999996</v>
      </c>
      <c r="J47" s="129">
        <f>J38</f>
        <v>24416.170000000006</v>
      </c>
    </row>
    <row r="48" spans="1:10" x14ac:dyDescent="0.25">
      <c r="B48" s="128" t="s">
        <v>251</v>
      </c>
      <c r="C48" s="128"/>
      <c r="D48" s="128"/>
      <c r="E48" s="128"/>
      <c r="F48" s="130">
        <v>0.3</v>
      </c>
      <c r="G48" s="130">
        <v>0.3</v>
      </c>
      <c r="H48" s="130">
        <v>0.3</v>
      </c>
      <c r="I48" s="130">
        <v>0.3</v>
      </c>
      <c r="J48" s="130">
        <v>0.3</v>
      </c>
    </row>
    <row r="49" spans="1:10" x14ac:dyDescent="0.25">
      <c r="B49" s="128" t="s">
        <v>252</v>
      </c>
      <c r="C49" s="128"/>
      <c r="D49" s="128"/>
      <c r="E49" s="128"/>
      <c r="F49" s="129">
        <f>F47*(1-F48)</f>
        <v>12389.040999999999</v>
      </c>
      <c r="G49" s="129">
        <f t="shared" ref="G49:J49" si="0">G47*(1-G48)</f>
        <v>10793.432999999999</v>
      </c>
      <c r="H49" s="129">
        <f t="shared" si="0"/>
        <v>13223.517999999995</v>
      </c>
      <c r="I49" s="129">
        <f t="shared" si="0"/>
        <v>16726.674999999996</v>
      </c>
      <c r="J49" s="129">
        <f t="shared" si="0"/>
        <v>17091.319000000003</v>
      </c>
    </row>
    <row r="50" spans="1:10" x14ac:dyDescent="0.25">
      <c r="B50" s="128"/>
      <c r="C50" s="128"/>
      <c r="D50" s="128"/>
      <c r="E50" s="128"/>
      <c r="F50" s="128"/>
      <c r="G50" s="128"/>
      <c r="H50" s="128"/>
      <c r="I50" s="128"/>
      <c r="J50" s="128"/>
    </row>
    <row r="51" spans="1:10" x14ac:dyDescent="0.25">
      <c r="B51" s="128" t="s">
        <v>253</v>
      </c>
      <c r="C51" s="128"/>
      <c r="D51" s="128"/>
      <c r="E51" s="128"/>
      <c r="F51" s="128"/>
      <c r="G51" s="129">
        <f>SUM(G44:G45)</f>
        <v>943</v>
      </c>
      <c r="H51" s="129">
        <f>SUM(H44:H45)</f>
        <v>4003</v>
      </c>
      <c r="I51" s="129">
        <f>SUM(I44:I45)</f>
        <v>3270</v>
      </c>
      <c r="J51" s="129">
        <f>SUM(J44:J45)</f>
        <v>2941</v>
      </c>
    </row>
    <row r="52" spans="1:10" ht="4.5" customHeight="1" x14ac:dyDescent="0.25">
      <c r="G52" s="115"/>
      <c r="H52" s="115"/>
      <c r="I52" s="115"/>
      <c r="J52" s="115"/>
    </row>
    <row r="53" spans="1:10" ht="15.75" thickBot="1" x14ac:dyDescent="0.3">
      <c r="B53" s="119" t="s">
        <v>254</v>
      </c>
      <c r="C53" s="119"/>
      <c r="D53" s="119"/>
      <c r="E53" s="119"/>
      <c r="F53" s="119"/>
      <c r="G53" s="123">
        <f>G51/G49</f>
        <v>8.7367939375729675E-2</v>
      </c>
      <c r="H53" s="123">
        <f>H51/H49</f>
        <v>0.30271823277285226</v>
      </c>
      <c r="I53" s="123">
        <f>I51/I49</f>
        <v>0.19549611623350133</v>
      </c>
      <c r="J53" s="123">
        <f>J51/J49</f>
        <v>0.17207566016408679</v>
      </c>
    </row>
    <row r="54" spans="1:10" x14ac:dyDescent="0.25">
      <c r="G54" s="11"/>
      <c r="H54" s="11"/>
      <c r="I54" s="11"/>
      <c r="J54" s="11"/>
    </row>
    <row r="55" spans="1:10" x14ac:dyDescent="0.25">
      <c r="I55" s="92" t="s">
        <v>255</v>
      </c>
      <c r="J55" s="131">
        <f>AVERAGE(G53:J53)</f>
        <v>0.18941448713654252</v>
      </c>
    </row>
    <row r="56" spans="1:10" x14ac:dyDescent="0.25">
      <c r="I56" s="92" t="s">
        <v>256</v>
      </c>
      <c r="J56" s="131">
        <f>MEDIAN(G53:J53)</f>
        <v>0.18378588819879405</v>
      </c>
    </row>
    <row r="58" spans="1:10" x14ac:dyDescent="0.25">
      <c r="A58" t="s">
        <v>94</v>
      </c>
      <c r="B58" s="93" t="s">
        <v>213</v>
      </c>
      <c r="C58" s="111"/>
      <c r="D58" s="111"/>
      <c r="E58" s="111"/>
      <c r="F58" s="112">
        <f>'Raw FS'!J$2</f>
        <v>43891</v>
      </c>
      <c r="G58" s="112">
        <f>'Raw FS'!K$2</f>
        <v>44256</v>
      </c>
      <c r="H58" s="112">
        <f>'Raw FS'!L$2</f>
        <v>44621</v>
      </c>
      <c r="I58" s="112">
        <f>'Raw FS'!M$2</f>
        <v>44986</v>
      </c>
      <c r="J58" s="112">
        <f>'Raw FS'!N$2</f>
        <v>45352</v>
      </c>
    </row>
    <row r="60" spans="1:10" x14ac:dyDescent="0.25">
      <c r="B60" s="132" t="str">
        <f>B53</f>
        <v>Reinvestment Rate</v>
      </c>
      <c r="C60" s="128"/>
      <c r="D60" s="128"/>
      <c r="E60" s="128"/>
      <c r="F60" s="128"/>
      <c r="G60" s="133">
        <f>G53</f>
        <v>8.7367939375729675E-2</v>
      </c>
      <c r="H60" s="133">
        <f>H53</f>
        <v>0.30271823277285226</v>
      </c>
      <c r="I60" s="133">
        <f>I53</f>
        <v>0.19549611623350133</v>
      </c>
      <c r="J60" s="133">
        <f>J53</f>
        <v>0.17207566016408679</v>
      </c>
    </row>
    <row r="61" spans="1:10" x14ac:dyDescent="0.25">
      <c r="B61" s="128" t="str">
        <f>B40</f>
        <v>ROIC</v>
      </c>
      <c r="C61" s="128"/>
      <c r="D61" s="128"/>
      <c r="E61" s="128"/>
      <c r="F61" s="128"/>
      <c r="G61" s="133">
        <f>G40</f>
        <v>0.35855246023625709</v>
      </c>
      <c r="H61" s="133">
        <f>H40</f>
        <v>0.38743083328206063</v>
      </c>
      <c r="I61" s="133">
        <f>I40</f>
        <v>0.44199715141874135</v>
      </c>
      <c r="J61" s="133">
        <f>J40</f>
        <v>0.41569344184146018</v>
      </c>
    </row>
    <row r="62" spans="1:10" ht="3.75" customHeight="1" x14ac:dyDescent="0.25"/>
    <row r="63" spans="1:10" ht="15.75" thickBot="1" x14ac:dyDescent="0.3">
      <c r="B63" s="134" t="s">
        <v>257</v>
      </c>
      <c r="C63" s="134"/>
      <c r="D63" s="134"/>
      <c r="E63" s="134"/>
      <c r="F63" s="134"/>
      <c r="G63" s="135">
        <f>G60*G61</f>
        <v>3.1325989608940036E-2</v>
      </c>
      <c r="H63" s="135">
        <f>H60*H61</f>
        <v>0.11728237717285894</v>
      </c>
      <c r="I63" s="135">
        <f>I60*I61</f>
        <v>8.6408726488634749E-2</v>
      </c>
      <c r="J63" s="135">
        <f>J60*J61</f>
        <v>7.1530723430750676E-2</v>
      </c>
    </row>
    <row r="64" spans="1:10" ht="15.75" thickTop="1" x14ac:dyDescent="0.25"/>
    <row r="65" spans="9:10" x14ac:dyDescent="0.25">
      <c r="I65" s="92" t="s">
        <v>255</v>
      </c>
      <c r="J65" s="131">
        <f>AVERAGE(G63:J63)</f>
        <v>7.6636954175296104E-2</v>
      </c>
    </row>
    <row r="66" spans="9:10" x14ac:dyDescent="0.25">
      <c r="I66" s="92" t="s">
        <v>256</v>
      </c>
      <c r="J66" s="131">
        <f>MEDIAN(G63:J63)</f>
        <v>7.8969724959692705E-2</v>
      </c>
    </row>
  </sheetData>
  <pageMargins left="0.7" right="0.7" top="0.75" bottom="0.75" header="0.3" footer="0.3"/>
  <pageSetup orientation="portrait" r:id="rId1"/>
  <ignoredErrors>
    <ignoredError sqref="F44:J44" formulaRange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"/>
  <sheetViews>
    <sheetView showGridLines="0" topLeftCell="A7" workbookViewId="0">
      <selection activeCell="E6" sqref="E6:J6 E8 F8:J9 E10:J10 E11:I11 E12:F12 G12:J13 F14:J14 F16:J16 C20 C24:C26 C28 C32:C34 C36:C39 C41 C44"/>
    </sheetView>
  </sheetViews>
  <sheetFormatPr defaultRowHeight="15" outlineLevelRow="1" x14ac:dyDescent="0.25"/>
  <cols>
    <col min="1" max="1" width="1.85546875" customWidth="1"/>
    <col min="2" max="2" width="27.5703125" bestFit="1" customWidth="1"/>
    <col min="3" max="3" width="12" bestFit="1" customWidth="1"/>
    <col min="5" max="5" width="12" bestFit="1" customWidth="1"/>
  </cols>
  <sheetData>
    <row r="1" spans="1:1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6" spans="1:11" x14ac:dyDescent="0.25">
      <c r="B6" s="93" t="s">
        <v>258</v>
      </c>
      <c r="C6" s="1"/>
      <c r="D6" s="1"/>
      <c r="E6" s="137">
        <f>'Intrisic Growth'!J6</f>
        <v>45352</v>
      </c>
      <c r="F6" s="138">
        <f>E6+365</f>
        <v>45717</v>
      </c>
      <c r="G6" s="138">
        <f>F6+365</f>
        <v>46082</v>
      </c>
      <c r="H6" s="138">
        <f>G6+365</f>
        <v>46447</v>
      </c>
      <c r="I6" s="138">
        <f>H6+366</f>
        <v>46813</v>
      </c>
      <c r="J6" s="138">
        <f>I6+365</f>
        <v>47178</v>
      </c>
    </row>
    <row r="8" spans="1:11" x14ac:dyDescent="0.25">
      <c r="B8" s="128" t="s">
        <v>222</v>
      </c>
      <c r="C8" s="128"/>
      <c r="D8" s="128"/>
      <c r="E8" s="142">
        <f>'Data Sheet'!K34-'Data Sheet'!K26</f>
        <v>26927.360000000001</v>
      </c>
      <c r="F8" s="128">
        <f>E8*(1-$C$18)</f>
        <v>26001.058816000001</v>
      </c>
      <c r="G8" s="128">
        <f>F8*(1-$C$18)</f>
        <v>25106.622392729601</v>
      </c>
      <c r="H8" s="128">
        <f>G8*(1-$C$18)</f>
        <v>24242.954582419705</v>
      </c>
      <c r="I8" s="128">
        <f>H8*(1-$C$18)</f>
        <v>23408.996944784467</v>
      </c>
      <c r="J8" s="128">
        <f>I8*(1-$C$18)</f>
        <v>22603.727449883881</v>
      </c>
    </row>
    <row r="9" spans="1:11" x14ac:dyDescent="0.25">
      <c r="B9" s="128" t="s">
        <v>8</v>
      </c>
      <c r="C9" s="128"/>
      <c r="D9" s="128"/>
      <c r="E9" s="143">
        <v>0.3</v>
      </c>
      <c r="F9" s="133">
        <f>E9</f>
        <v>0.3</v>
      </c>
      <c r="G9" s="133">
        <f>F9</f>
        <v>0.3</v>
      </c>
      <c r="H9" s="133">
        <f>G9</f>
        <v>0.3</v>
      </c>
      <c r="I9" s="133">
        <f>H9</f>
        <v>0.3</v>
      </c>
      <c r="J9" s="133">
        <f>I9</f>
        <v>0.3</v>
      </c>
    </row>
    <row r="10" spans="1:11" x14ac:dyDescent="0.25">
      <c r="B10" s="128" t="s">
        <v>259</v>
      </c>
      <c r="C10" s="128"/>
      <c r="D10" s="128"/>
      <c r="E10" s="144">
        <f t="shared" ref="E10:J10" si="0">E8*(1-E9)</f>
        <v>18849.151999999998</v>
      </c>
      <c r="F10" s="128">
        <f t="shared" si="0"/>
        <v>18200.741171199999</v>
      </c>
      <c r="G10" s="128">
        <f t="shared" si="0"/>
        <v>17574.635674910718</v>
      </c>
      <c r="H10" s="128">
        <f t="shared" si="0"/>
        <v>16970.068207693792</v>
      </c>
      <c r="I10" s="128">
        <f t="shared" si="0"/>
        <v>16386.297861349125</v>
      </c>
      <c r="J10" s="128">
        <f t="shared" si="0"/>
        <v>15822.609214918715</v>
      </c>
    </row>
    <row r="11" spans="1:11" x14ac:dyDescent="0.25">
      <c r="B11" s="128" t="s">
        <v>260</v>
      </c>
      <c r="C11" s="128"/>
      <c r="D11" s="128"/>
      <c r="E11" s="145">
        <f>'Intrisic Growth'!J56</f>
        <v>0.18378588819879405</v>
      </c>
      <c r="F11" s="139">
        <f>E11+(($J$11-$E$11)/4)</f>
        <v>0.26068941614909552</v>
      </c>
      <c r="G11" s="139">
        <f>F11+(($J$11-$E$11)/4)</f>
        <v>0.337592944099397</v>
      </c>
      <c r="H11" s="139">
        <f>G11+(($J$11-$E$11)/4)</f>
        <v>0.41449647204969847</v>
      </c>
      <c r="I11" s="139">
        <f>H11+(($J$11-$E$11)/4)</f>
        <v>0.49139999999999995</v>
      </c>
      <c r="J11" s="130">
        <v>0.4914</v>
      </c>
    </row>
    <row r="12" spans="1:11" x14ac:dyDescent="0.25">
      <c r="B12" s="128" t="s">
        <v>261</v>
      </c>
      <c r="C12" s="128"/>
      <c r="D12" s="128"/>
      <c r="E12" s="144">
        <f t="shared" ref="E12:J12" si="1">E10*(1-E11)</f>
        <v>15384.943857885923</v>
      </c>
      <c r="F12" s="128">
        <f t="shared" si="1"/>
        <v>13456.000581799066</v>
      </c>
      <c r="G12" s="128">
        <f t="shared" si="1"/>
        <v>11641.562675943316</v>
      </c>
      <c r="H12" s="128">
        <f t="shared" si="1"/>
        <v>9936.0348051619658</v>
      </c>
      <c r="I12" s="128">
        <f t="shared" si="1"/>
        <v>8334.0710922821654</v>
      </c>
      <c r="J12" s="128">
        <f t="shared" si="1"/>
        <v>8047.3790467076578</v>
      </c>
    </row>
    <row r="13" spans="1:11" x14ac:dyDescent="0.25">
      <c r="B13" s="128" t="s">
        <v>262</v>
      </c>
      <c r="C13" s="128"/>
      <c r="D13" s="128"/>
      <c r="E13" s="144"/>
      <c r="F13" s="140">
        <v>0.5</v>
      </c>
      <c r="G13" s="128">
        <f>F13+1</f>
        <v>1.5</v>
      </c>
      <c r="H13" s="128">
        <f>G13+1</f>
        <v>2.5</v>
      </c>
      <c r="I13" s="128">
        <f>H13+1</f>
        <v>3.5</v>
      </c>
      <c r="J13" s="128">
        <f>I13+1</f>
        <v>4.5</v>
      </c>
    </row>
    <row r="14" spans="1:11" x14ac:dyDescent="0.25">
      <c r="B14" s="128" t="s">
        <v>263</v>
      </c>
      <c r="C14" s="128"/>
      <c r="D14" s="128"/>
      <c r="E14" s="144"/>
      <c r="F14" s="141">
        <f>1/(1+$C$20)^F13</f>
        <v>0.89033541784018477</v>
      </c>
      <c r="G14" s="141">
        <f>1/(1+$C$20)^G13</f>
        <v>0.70576635384005793</v>
      </c>
      <c r="H14" s="141">
        <f>1/(1+$C$20)^H13</f>
        <v>0.5594589816734663</v>
      </c>
      <c r="I14" s="141">
        <f>1/(1+$C$20)^I13</f>
        <v>0.44348154381703953</v>
      </c>
      <c r="J14" s="141">
        <f>1/(1+$C$20)^J13</f>
        <v>0.351546558637853</v>
      </c>
    </row>
    <row r="15" spans="1:11" ht="4.5" customHeight="1" x14ac:dyDescent="0.25">
      <c r="E15" s="146"/>
    </row>
    <row r="16" spans="1:11" ht="15.75" thickBot="1" x14ac:dyDescent="0.3">
      <c r="B16" s="119" t="s">
        <v>264</v>
      </c>
      <c r="C16" s="119"/>
      <c r="D16" s="119"/>
      <c r="E16" s="173"/>
      <c r="F16" s="172">
        <f>F12*F14</f>
        <v>11980.353900453842</v>
      </c>
      <c r="G16" s="172">
        <f>G12*G14</f>
        <v>8216.2232428010229</v>
      </c>
      <c r="H16" s="172">
        <f>H12*H14</f>
        <v>5558.8039139680313</v>
      </c>
      <c r="I16" s="172">
        <f>I12*I14</f>
        <v>3696.0067142862554</v>
      </c>
      <c r="J16" s="172">
        <f>J12*J14</f>
        <v>2829.0284099244432</v>
      </c>
    </row>
    <row r="18" spans="2:3" outlineLevel="1" x14ac:dyDescent="0.25">
      <c r="B18" s="53" t="s">
        <v>265</v>
      </c>
      <c r="C18" s="54">
        <v>3.44E-2</v>
      </c>
    </row>
    <row r="19" spans="2:3" outlineLevel="1" x14ac:dyDescent="0.25">
      <c r="B19" s="53" t="s">
        <v>266</v>
      </c>
      <c r="C19" s="54">
        <v>7.5999999999999998E-2</v>
      </c>
    </row>
    <row r="20" spans="2:3" outlineLevel="1" x14ac:dyDescent="0.25">
      <c r="B20" s="53" t="s">
        <v>93</v>
      </c>
      <c r="C20" s="54">
        <f>WACC!J44</f>
        <v>0.26151581609960717</v>
      </c>
    </row>
    <row r="22" spans="2:3" x14ac:dyDescent="0.25">
      <c r="B22" s="93" t="s">
        <v>267</v>
      </c>
      <c r="C22" s="1"/>
    </row>
    <row r="24" spans="2:3" x14ac:dyDescent="0.25">
      <c r="B24" t="s">
        <v>268</v>
      </c>
      <c r="C24">
        <f>J12*(1+C18)</f>
        <v>8324.2088859144005</v>
      </c>
    </row>
    <row r="25" spans="2:3" x14ac:dyDescent="0.25">
      <c r="B25" t="s">
        <v>93</v>
      </c>
      <c r="C25" s="20">
        <f>C20</f>
        <v>0.26151581609960717</v>
      </c>
    </row>
    <row r="26" spans="2:3" x14ac:dyDescent="0.25">
      <c r="B26" t="s">
        <v>269</v>
      </c>
      <c r="C26" s="20">
        <f>C19</f>
        <v>7.5999999999999998E-2</v>
      </c>
    </row>
    <row r="28" spans="2:3" ht="15.75" thickBot="1" x14ac:dyDescent="0.3">
      <c r="B28" s="119" t="s">
        <v>270</v>
      </c>
      <c r="C28" s="172">
        <f>C24/(C25-C26)</f>
        <v>44870.615675404013</v>
      </c>
    </row>
    <row r="30" spans="2:3" x14ac:dyDescent="0.25">
      <c r="B30" s="93" t="s">
        <v>271</v>
      </c>
      <c r="C30" s="1"/>
    </row>
    <row r="32" spans="2:3" x14ac:dyDescent="0.25">
      <c r="B32" t="s">
        <v>264</v>
      </c>
      <c r="C32" s="13">
        <f>SUM(F16:J16)</f>
        <v>32280.416181433593</v>
      </c>
    </row>
    <row r="33" spans="2:3" x14ac:dyDescent="0.25">
      <c r="B33" t="s">
        <v>272</v>
      </c>
      <c r="C33" s="149">
        <f>C28*J14</f>
        <v>15774.110524649983</v>
      </c>
    </row>
    <row r="34" spans="2:3" x14ac:dyDescent="0.25">
      <c r="B34" s="37" t="s">
        <v>273</v>
      </c>
      <c r="C34" s="150">
        <f>SUM(C32:C33)</f>
        <v>48054.526706083576</v>
      </c>
    </row>
    <row r="35" spans="2:3" x14ac:dyDescent="0.25">
      <c r="B35" s="37"/>
      <c r="C35" s="147"/>
    </row>
    <row r="36" spans="2:3" x14ac:dyDescent="0.25">
      <c r="B36" s="148" t="s">
        <v>274</v>
      </c>
      <c r="C36" s="151">
        <f>'Data Sheet'!K69</f>
        <v>7217.68</v>
      </c>
    </row>
    <row r="37" spans="2:3" x14ac:dyDescent="0.25">
      <c r="B37" s="148" t="s">
        <v>275</v>
      </c>
      <c r="C37" s="151">
        <f>SUM('Raw FS'!N7:N8)</f>
        <v>12</v>
      </c>
    </row>
    <row r="38" spans="2:3" x14ac:dyDescent="0.25">
      <c r="B38" s="148" t="s">
        <v>276</v>
      </c>
      <c r="C38" s="151">
        <f>C34+C36-C37</f>
        <v>55260.206706083576</v>
      </c>
    </row>
    <row r="39" spans="2:3" x14ac:dyDescent="0.25">
      <c r="B39" s="148" t="s">
        <v>277</v>
      </c>
      <c r="C39" s="152">
        <f>'Data Sheet'!B6</f>
        <v>1250.7598739068537</v>
      </c>
    </row>
    <row r="40" spans="2:3" ht="4.5" customHeight="1" x14ac:dyDescent="0.25">
      <c r="C40" s="148"/>
    </row>
    <row r="41" spans="2:3" ht="15.75" thickBot="1" x14ac:dyDescent="0.3">
      <c r="B41" s="119" t="s">
        <v>278</v>
      </c>
      <c r="C41" s="153">
        <f>C38/C39</f>
        <v>44.18130758662226</v>
      </c>
    </row>
    <row r="43" spans="2:3" x14ac:dyDescent="0.25">
      <c r="B43" t="s">
        <v>279</v>
      </c>
      <c r="C43">
        <v>3079</v>
      </c>
    </row>
    <row r="44" spans="2:3" x14ac:dyDescent="0.25">
      <c r="B44" t="s">
        <v>280</v>
      </c>
      <c r="C44" s="154">
        <f>C43/C41</f>
        <v>69.690105797871311</v>
      </c>
    </row>
  </sheetData>
  <pageMargins left="0.7" right="0.7" top="0.75" bottom="0.75" header="0.3" footer="0.3"/>
  <pageSetup orientation="portrait" r:id="rId1"/>
  <ignoredErrors>
    <ignoredError sqref="C37" formulaRange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"/>
  <sheetViews>
    <sheetView workbookViewId="0">
      <selection activeCell="E76" sqref="E76"/>
    </sheetView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76"/>
  <sheetViews>
    <sheetView showGridLines="0" workbookViewId="0">
      <pane ySplit="3" topLeftCell="A56" activePane="bottomLeft" state="frozen"/>
      <selection activeCell="E76" sqref="E76"/>
      <selection pane="bottomLeft" activeCell="H79" sqref="H79"/>
    </sheetView>
  </sheetViews>
  <sheetFormatPr defaultRowHeight="15" x14ac:dyDescent="0.25"/>
  <cols>
    <col min="1" max="1" width="1.85546875" customWidth="1"/>
    <col min="2" max="2" width="28.42578125" bestFit="1" customWidth="1"/>
    <col min="3" max="13" width="13" customWidth="1"/>
  </cols>
  <sheetData>
    <row r="2" spans="1:13" x14ac:dyDescent="0.25">
      <c r="B2" s="186" t="str">
        <f>"Historical Financial Statement - "&amp;'Data Sheet'!$B$1</f>
        <v>Historical Financial Statement - ITC LTD</v>
      </c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</row>
    <row r="3" spans="1:13" x14ac:dyDescent="0.25">
      <c r="B3" s="72" t="s">
        <v>149</v>
      </c>
      <c r="C3" s="73">
        <f>'Data Sheet'!B$16</f>
        <v>42094</v>
      </c>
      <c r="D3" s="73">
        <f>'Data Sheet'!C$16</f>
        <v>42460</v>
      </c>
      <c r="E3" s="73">
        <f>'Data Sheet'!D$16</f>
        <v>42825</v>
      </c>
      <c r="F3" s="73">
        <f>'Data Sheet'!E$16</f>
        <v>43190</v>
      </c>
      <c r="G3" s="73">
        <f>'Data Sheet'!F$16</f>
        <v>43555</v>
      </c>
      <c r="H3" s="73">
        <f>'Data Sheet'!G$16</f>
        <v>43921</v>
      </c>
      <c r="I3" s="73">
        <f>'Data Sheet'!H$16</f>
        <v>44286</v>
      </c>
      <c r="J3" s="73">
        <f>'Data Sheet'!I$16</f>
        <v>44651</v>
      </c>
      <c r="K3" s="73">
        <f>'Data Sheet'!J$16</f>
        <v>45016</v>
      </c>
      <c r="L3" s="73">
        <f>'Data Sheet'!K$16</f>
        <v>45382</v>
      </c>
      <c r="M3" s="74" t="s">
        <v>150</v>
      </c>
    </row>
    <row r="4" spans="1:13" x14ac:dyDescent="0.25">
      <c r="B4" s="75"/>
      <c r="C4" s="76"/>
      <c r="D4" s="76"/>
      <c r="E4" s="76"/>
      <c r="F4" s="76"/>
      <c r="G4" s="76"/>
      <c r="H4" s="76"/>
      <c r="I4" s="76"/>
      <c r="J4" s="76"/>
      <c r="K4" s="76"/>
      <c r="L4" s="76"/>
      <c r="M4" s="77"/>
    </row>
    <row r="5" spans="1:13" x14ac:dyDescent="0.25">
      <c r="A5" t="s">
        <v>94</v>
      </c>
      <c r="B5" s="78" t="s">
        <v>151</v>
      </c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</row>
    <row r="6" spans="1:13" x14ac:dyDescent="0.25">
      <c r="B6" t="s">
        <v>106</v>
      </c>
      <c r="C6" s="80">
        <f>IFERROR('Data Sheet'!B17,0)</f>
        <v>38817.15</v>
      </c>
      <c r="D6" s="80">
        <f>IFERROR('Data Sheet'!C17,0)</f>
        <v>39192.1</v>
      </c>
      <c r="E6" s="80">
        <f>IFERROR('Data Sheet'!D17,0)</f>
        <v>42767.6</v>
      </c>
      <c r="F6" s="80">
        <f>IFERROR('Data Sheet'!E17,0)</f>
        <v>43448.94</v>
      </c>
      <c r="G6" s="80">
        <f>IFERROR('Data Sheet'!F17,0)</f>
        <v>48339.58</v>
      </c>
      <c r="H6" s="80">
        <f>IFERROR('Data Sheet'!G17,0)</f>
        <v>49387.7</v>
      </c>
      <c r="I6" s="80">
        <f>IFERROR('Data Sheet'!H17,0)</f>
        <v>49257.45</v>
      </c>
      <c r="J6" s="80">
        <f>IFERROR('Data Sheet'!I17,0)</f>
        <v>60644.54</v>
      </c>
      <c r="K6" s="80">
        <f>IFERROR('Data Sheet'!J17,0)</f>
        <v>70919.03</v>
      </c>
      <c r="L6" s="80">
        <f>IFERROR('Data Sheet'!K17,0)</f>
        <v>70866.22</v>
      </c>
      <c r="M6" s="80">
        <f>IFERROR(SUM('Data Sheet'!H42:K42),0)</f>
        <v>72173.87</v>
      </c>
    </row>
    <row r="7" spans="1:13" x14ac:dyDescent="0.25">
      <c r="B7" s="81" t="s">
        <v>152</v>
      </c>
      <c r="C7" s="82" t="s">
        <v>153</v>
      </c>
      <c r="D7" s="83">
        <f>D6/C6-1</f>
        <v>9.6593902437451806E-3</v>
      </c>
      <c r="E7" s="83">
        <f t="shared" ref="E7:M7" si="0">E6/D6-1</f>
        <v>9.1230120355888067E-2</v>
      </c>
      <c r="F7" s="83">
        <f t="shared" si="0"/>
        <v>1.5931218960147486E-2</v>
      </c>
      <c r="G7" s="83">
        <f t="shared" si="0"/>
        <v>0.11256062863673999</v>
      </c>
      <c r="H7" s="83">
        <f t="shared" si="0"/>
        <v>2.1682439110972673E-2</v>
      </c>
      <c r="I7" s="83">
        <f t="shared" si="0"/>
        <v>-2.6372963308678443E-3</v>
      </c>
      <c r="J7" s="83">
        <f t="shared" si="0"/>
        <v>0.23117497962237188</v>
      </c>
      <c r="K7" s="83">
        <f t="shared" si="0"/>
        <v>0.1694215175842706</v>
      </c>
      <c r="L7" s="83">
        <f t="shared" si="0"/>
        <v>-7.4465203486284715E-4</v>
      </c>
      <c r="M7" s="83">
        <f t="shared" si="0"/>
        <v>1.8452374064822363E-2</v>
      </c>
    </row>
    <row r="9" spans="1:13" x14ac:dyDescent="0.25">
      <c r="B9" t="s">
        <v>154</v>
      </c>
      <c r="C9" s="80">
        <f>IFERROR(SUM('Data Sheet'!B18,'Data Sheet'!B20,'Data Sheet'!B21,'Data Sheet'!B22)-1*'Data Sheet'!B19,0)</f>
        <v>19688.379999999997</v>
      </c>
      <c r="D9" s="80">
        <f>IFERROR(SUM('Data Sheet'!C18,'Data Sheet'!C20,'Data Sheet'!C21,'Data Sheet'!C22)-1*'Data Sheet'!C19,0)</f>
        <v>19162.939999999999</v>
      </c>
      <c r="E9" s="80">
        <f>IFERROR(SUM('Data Sheet'!D18,'Data Sheet'!D20,'Data Sheet'!D21,'Data Sheet'!D22)-1*'Data Sheet'!D19,0)</f>
        <v>21949.119999999999</v>
      </c>
      <c r="F9" s="80">
        <f>IFERROR(SUM('Data Sheet'!E18,'Data Sheet'!E20,'Data Sheet'!E21,'Data Sheet'!E22)-1*'Data Sheet'!E19,0)</f>
        <v>21967.5</v>
      </c>
      <c r="G9" s="80">
        <f>IFERROR(SUM('Data Sheet'!F18,'Data Sheet'!F20,'Data Sheet'!F21,'Data Sheet'!F22)-1*'Data Sheet'!F19,0)</f>
        <v>24215.95</v>
      </c>
      <c r="H9" s="80">
        <f>IFERROR(SUM('Data Sheet'!G18,'Data Sheet'!G20,'Data Sheet'!G21,'Data Sheet'!G22)-1*'Data Sheet'!G19,0)</f>
        <v>24330.399999999998</v>
      </c>
      <c r="I9" s="80">
        <f>IFERROR(SUM('Data Sheet'!H18,'Data Sheet'!H20,'Data Sheet'!H21,'Data Sheet'!H22)-1*'Data Sheet'!H19,0)</f>
        <v>26881.51</v>
      </c>
      <c r="J9" s="80">
        <f>IFERROR(SUM('Data Sheet'!I18,'Data Sheet'!I20,'Data Sheet'!I21,'Data Sheet'!I22)-1*'Data Sheet'!I19,0)</f>
        <v>34053.060000000005</v>
      </c>
      <c r="K9" s="80">
        <f>IFERROR(SUM('Data Sheet'!J18,'Data Sheet'!J20,'Data Sheet'!J21,'Data Sheet'!J22)-1*'Data Sheet'!J19,0)</f>
        <v>38302.130000000005</v>
      </c>
      <c r="L9" s="80">
        <f>IFERROR(SUM('Data Sheet'!K18,'Data Sheet'!K20,'Data Sheet'!K21,'Data Sheet'!K22)-1*'Data Sheet'!K19,0)</f>
        <v>37015.479999999996</v>
      </c>
      <c r="M9" s="80">
        <f>IFERROR(SUM('Data Sheet'!H43:K43),0)</f>
        <v>45841.179999999993</v>
      </c>
    </row>
    <row r="10" spans="1:13" x14ac:dyDescent="0.25">
      <c r="B10" s="81" t="s">
        <v>155</v>
      </c>
      <c r="C10" s="83">
        <f>C9/C6</f>
        <v>0.50720828293679465</v>
      </c>
      <c r="D10" s="83">
        <f t="shared" ref="D10:M10" si="1">D9/D6</f>
        <v>0.48894904840516329</v>
      </c>
      <c r="E10" s="83">
        <f t="shared" si="1"/>
        <v>0.51321841768067411</v>
      </c>
      <c r="F10" s="83">
        <f t="shared" si="1"/>
        <v>0.50559346211898382</v>
      </c>
      <c r="G10" s="83">
        <f t="shared" si="1"/>
        <v>0.50095491106873502</v>
      </c>
      <c r="H10" s="83">
        <f t="shared" si="1"/>
        <v>0.49264088021916386</v>
      </c>
      <c r="I10" s="83">
        <f t="shared" si="1"/>
        <v>0.54573490913557243</v>
      </c>
      <c r="J10" s="83">
        <f t="shared" si="1"/>
        <v>0.56151897598695621</v>
      </c>
      <c r="K10" s="83">
        <f t="shared" si="1"/>
        <v>0.54008254202010386</v>
      </c>
      <c r="L10" s="83">
        <f t="shared" si="1"/>
        <v>0.52232897422777724</v>
      </c>
      <c r="M10" s="83">
        <f t="shared" si="1"/>
        <v>0.63514925831190705</v>
      </c>
    </row>
    <row r="12" spans="1:13" x14ac:dyDescent="0.25">
      <c r="B12" s="84" t="s">
        <v>156</v>
      </c>
      <c r="C12" s="85">
        <f>C6-C9</f>
        <v>19128.770000000004</v>
      </c>
      <c r="D12" s="85">
        <f t="shared" ref="D12:M12" si="2">D6-D9</f>
        <v>20029.16</v>
      </c>
      <c r="E12" s="85">
        <f t="shared" si="2"/>
        <v>20818.48</v>
      </c>
      <c r="F12" s="85">
        <f t="shared" si="2"/>
        <v>21481.440000000002</v>
      </c>
      <c r="G12" s="85">
        <f t="shared" si="2"/>
        <v>24123.63</v>
      </c>
      <c r="H12" s="85">
        <f t="shared" si="2"/>
        <v>25057.3</v>
      </c>
      <c r="I12" s="85">
        <f t="shared" si="2"/>
        <v>22375.94</v>
      </c>
      <c r="J12" s="85">
        <f t="shared" si="2"/>
        <v>26591.479999999996</v>
      </c>
      <c r="K12" s="85">
        <f t="shared" si="2"/>
        <v>32616.899999999994</v>
      </c>
      <c r="L12" s="85">
        <f t="shared" si="2"/>
        <v>33850.740000000005</v>
      </c>
      <c r="M12" s="85">
        <f t="shared" si="2"/>
        <v>26332.690000000002</v>
      </c>
    </row>
    <row r="13" spans="1:13" x14ac:dyDescent="0.25">
      <c r="B13" s="81" t="s">
        <v>157</v>
      </c>
      <c r="C13" s="83">
        <f>C12/C6</f>
        <v>0.4927917170632054</v>
      </c>
      <c r="D13" s="83">
        <f t="shared" ref="D13:M13" si="3">D12/D6</f>
        <v>0.51105095159483671</v>
      </c>
      <c r="E13" s="83">
        <f t="shared" si="3"/>
        <v>0.48678158231932583</v>
      </c>
      <c r="F13" s="83">
        <f t="shared" si="3"/>
        <v>0.49440653788101624</v>
      </c>
      <c r="G13" s="83">
        <f t="shared" si="3"/>
        <v>0.49904508893126504</v>
      </c>
      <c r="H13" s="83">
        <f t="shared" si="3"/>
        <v>0.50735911978083614</v>
      </c>
      <c r="I13" s="83">
        <f t="shared" si="3"/>
        <v>0.45426509086442762</v>
      </c>
      <c r="J13" s="83">
        <f t="shared" si="3"/>
        <v>0.43848102401304379</v>
      </c>
      <c r="K13" s="83">
        <f t="shared" si="3"/>
        <v>0.45991745797989614</v>
      </c>
      <c r="L13" s="83">
        <f t="shared" si="3"/>
        <v>0.4776710257722227</v>
      </c>
      <c r="M13" s="83">
        <f t="shared" si="3"/>
        <v>0.36485074168809301</v>
      </c>
    </row>
    <row r="15" spans="1:13" x14ac:dyDescent="0.25">
      <c r="B15" t="s">
        <v>158</v>
      </c>
      <c r="C15" s="86">
        <f>IFERROR(SUM('Data Sheet'!B23:B24),0)</f>
        <v>4877.1499999999996</v>
      </c>
      <c r="D15" s="86">
        <f>IFERROR(SUM('Data Sheet'!C23:C24),0)</f>
        <v>5497.67</v>
      </c>
      <c r="E15" s="86">
        <f>IFERROR(SUM('Data Sheet'!D23:D24),0)</f>
        <v>5348.9699999999993</v>
      </c>
      <c r="F15" s="86">
        <f>IFERROR(SUM('Data Sheet'!E23:E24),0)</f>
        <v>4960.8500000000004</v>
      </c>
      <c r="G15" s="86">
        <f>IFERROR(SUM('Data Sheet'!F23:F24),0)</f>
        <v>5586.24</v>
      </c>
      <c r="H15" s="86">
        <f>IFERROR(SUM('Data Sheet'!G23:G24),0)</f>
        <v>5713.76</v>
      </c>
      <c r="I15" s="86">
        <f>IFERROR(SUM('Data Sheet'!H23:H24),0)</f>
        <v>5311.1600000000008</v>
      </c>
      <c r="J15" s="86">
        <f>IFERROR(SUM('Data Sheet'!I23:I24),0)</f>
        <v>5968.33</v>
      </c>
      <c r="K15" s="86">
        <f>IFERROR(SUM('Data Sheet'!J23:J24),0)</f>
        <v>6912.6399999999994</v>
      </c>
      <c r="L15" s="86">
        <f>IFERROR(SUM('Data Sheet'!K23:K24),0)</f>
        <v>7618.18</v>
      </c>
      <c r="M15" s="86"/>
    </row>
    <row r="16" spans="1:13" x14ac:dyDescent="0.25">
      <c r="B16" s="81" t="s">
        <v>159</v>
      </c>
      <c r="C16" s="83">
        <f>C15/C6</f>
        <v>0.12564420623358488</v>
      </c>
      <c r="D16" s="83">
        <f t="shared" ref="D16:M16" si="4">D15/D6</f>
        <v>0.14027495337070481</v>
      </c>
      <c r="E16" s="83">
        <f t="shared" si="4"/>
        <v>0.12507061420327537</v>
      </c>
      <c r="F16" s="83">
        <f t="shared" si="4"/>
        <v>0.11417654838069698</v>
      </c>
      <c r="G16" s="83">
        <f t="shared" si="4"/>
        <v>0.11556244386070379</v>
      </c>
      <c r="H16" s="83">
        <f t="shared" si="4"/>
        <v>0.11569196378855465</v>
      </c>
      <c r="I16" s="83">
        <f t="shared" si="4"/>
        <v>0.10782450167436604</v>
      </c>
      <c r="J16" s="83">
        <f t="shared" si="4"/>
        <v>9.8414960357519399E-2</v>
      </c>
      <c r="K16" s="83">
        <f t="shared" si="4"/>
        <v>9.7472286352478302E-2</v>
      </c>
      <c r="L16" s="83">
        <f t="shared" si="4"/>
        <v>0.10750086571571053</v>
      </c>
      <c r="M16" s="83">
        <f t="shared" si="4"/>
        <v>0</v>
      </c>
    </row>
    <row r="18" spans="2:15" x14ac:dyDescent="0.25">
      <c r="B18" s="84" t="s">
        <v>122</v>
      </c>
      <c r="C18" s="85">
        <f t="shared" ref="C18:L18" si="5">C12-C15</f>
        <v>14251.620000000004</v>
      </c>
      <c r="D18" s="85">
        <f t="shared" si="5"/>
        <v>14531.49</v>
      </c>
      <c r="E18" s="85">
        <f t="shared" si="5"/>
        <v>15469.51</v>
      </c>
      <c r="F18" s="85">
        <f t="shared" si="5"/>
        <v>16520.590000000004</v>
      </c>
      <c r="G18" s="85">
        <f t="shared" si="5"/>
        <v>18537.39</v>
      </c>
      <c r="H18" s="85">
        <f t="shared" si="5"/>
        <v>19343.54</v>
      </c>
      <c r="I18" s="85">
        <f t="shared" si="5"/>
        <v>17064.78</v>
      </c>
      <c r="J18" s="85">
        <f t="shared" si="5"/>
        <v>20623.149999999994</v>
      </c>
      <c r="K18" s="85">
        <f t="shared" si="5"/>
        <v>25704.259999999995</v>
      </c>
      <c r="L18" s="85">
        <f t="shared" si="5"/>
        <v>26232.560000000005</v>
      </c>
      <c r="M18" s="85">
        <f>IFERROR(SUM('[1]Data Sheet'!H51:K51),0)</f>
        <v>27983.82</v>
      </c>
    </row>
    <row r="19" spans="2:15" x14ac:dyDescent="0.25">
      <c r="B19" s="81" t="s">
        <v>160</v>
      </c>
      <c r="C19" s="83">
        <f>C18/C6</f>
        <v>0.36714751082962049</v>
      </c>
      <c r="D19" s="83">
        <f t="shared" ref="D19:M19" si="6">D18/D6</f>
        <v>0.37077599822413193</v>
      </c>
      <c r="E19" s="83">
        <f t="shared" si="6"/>
        <v>0.36171096811605047</v>
      </c>
      <c r="F19" s="83">
        <f t="shared" si="6"/>
        <v>0.38022998950031928</v>
      </c>
      <c r="G19" s="83">
        <f t="shared" si="6"/>
        <v>0.38348264507056118</v>
      </c>
      <c r="H19" s="83">
        <f t="shared" si="6"/>
        <v>0.39166715599228152</v>
      </c>
      <c r="I19" s="83">
        <f t="shared" si="6"/>
        <v>0.3464405891900616</v>
      </c>
      <c r="J19" s="83">
        <f t="shared" si="6"/>
        <v>0.34006606365552439</v>
      </c>
      <c r="K19" s="83">
        <f t="shared" si="6"/>
        <v>0.36244517162741785</v>
      </c>
      <c r="L19" s="83">
        <f t="shared" si="6"/>
        <v>0.37017016005651215</v>
      </c>
      <c r="M19" s="83">
        <f t="shared" si="6"/>
        <v>0.3877278577413128</v>
      </c>
    </row>
    <row r="21" spans="2:15" x14ac:dyDescent="0.25">
      <c r="B21" t="s">
        <v>116</v>
      </c>
      <c r="C21" s="86">
        <f>IFERROR('Data Sheet'!B27,0)</f>
        <v>90.96</v>
      </c>
      <c r="D21" s="86">
        <f>IFERROR('Data Sheet'!C27,0)</f>
        <v>78.13</v>
      </c>
      <c r="E21" s="86">
        <f>IFERROR('Data Sheet'!D27,0)</f>
        <v>49.03</v>
      </c>
      <c r="F21" s="86">
        <f>IFERROR('Data Sheet'!E27,0)</f>
        <v>115.01</v>
      </c>
      <c r="G21" s="86">
        <f>IFERROR('Data Sheet'!F27,0)</f>
        <v>71.400000000000006</v>
      </c>
      <c r="H21" s="86">
        <f>IFERROR('Data Sheet'!G27,0)</f>
        <v>81.38</v>
      </c>
      <c r="I21" s="86">
        <f>IFERROR('Data Sheet'!H27,0)</f>
        <v>57.97</v>
      </c>
      <c r="J21" s="86">
        <f>IFERROR('Data Sheet'!I27,0)</f>
        <v>59.99</v>
      </c>
      <c r="K21" s="86">
        <f>IFERROR('Data Sheet'!J27,0)</f>
        <v>77.77</v>
      </c>
      <c r="L21" s="86">
        <f>IFERROR('Data Sheet'!K27,0)</f>
        <v>80.06</v>
      </c>
      <c r="M21" s="86">
        <f>IFERROR(SUM('Data Sheet'!H46:K46),0)</f>
        <v>47.31</v>
      </c>
    </row>
    <row r="22" spans="2:15" x14ac:dyDescent="0.25">
      <c r="B22" s="81" t="s">
        <v>161</v>
      </c>
      <c r="C22" s="83">
        <f>C21/C6</f>
        <v>2.3432941367411051E-3</v>
      </c>
      <c r="D22" s="83">
        <f t="shared" ref="D22:M22" si="7">D21/D6</f>
        <v>1.9935139989946953E-3</v>
      </c>
      <c r="E22" s="83">
        <f t="shared" si="7"/>
        <v>1.146428604831695E-3</v>
      </c>
      <c r="F22" s="83">
        <f t="shared" si="7"/>
        <v>2.647015094039118E-3</v>
      </c>
      <c r="G22" s="83">
        <f t="shared" si="7"/>
        <v>1.4770504832685763E-3</v>
      </c>
      <c r="H22" s="83">
        <f t="shared" si="7"/>
        <v>1.647778697934911E-3</v>
      </c>
      <c r="I22" s="83">
        <f t="shared" si="7"/>
        <v>1.1768778123918311E-3</v>
      </c>
      <c r="J22" s="83">
        <f t="shared" si="7"/>
        <v>9.8920694262006107E-4</v>
      </c>
      <c r="K22" s="83">
        <f t="shared" si="7"/>
        <v>1.0966027031108574E-3</v>
      </c>
      <c r="L22" s="83">
        <f t="shared" si="7"/>
        <v>1.1297343078267756E-3</v>
      </c>
      <c r="M22" s="83">
        <f t="shared" si="7"/>
        <v>6.5550039093095606E-4</v>
      </c>
    </row>
    <row r="24" spans="2:15" x14ac:dyDescent="0.25">
      <c r="B24" t="s">
        <v>115</v>
      </c>
      <c r="C24" s="86">
        <f>IFERROR('Data Sheet'!B26,0)</f>
        <v>1027.96</v>
      </c>
      <c r="D24" s="86">
        <f>IFERROR('Data Sheet'!C26,0)</f>
        <v>1077.4000000000001</v>
      </c>
      <c r="E24" s="86">
        <f>IFERROR('Data Sheet'!D26,0)</f>
        <v>1152.79</v>
      </c>
      <c r="F24" s="86">
        <f>IFERROR('Data Sheet'!E26,0)</f>
        <v>1236.28</v>
      </c>
      <c r="G24" s="86">
        <f>IFERROR('Data Sheet'!F26,0)</f>
        <v>1396.61</v>
      </c>
      <c r="H24" s="86">
        <f>IFERROR('Data Sheet'!G26,0)</f>
        <v>1644.91</v>
      </c>
      <c r="I24" s="86">
        <f>IFERROR('Data Sheet'!H26,0)</f>
        <v>1645.59</v>
      </c>
      <c r="J24" s="86">
        <f>IFERROR('Data Sheet'!I26,0)</f>
        <v>1732.41</v>
      </c>
      <c r="K24" s="86">
        <f>IFERROR('Data Sheet'!J26,0)</f>
        <v>1809.01</v>
      </c>
      <c r="L24" s="86">
        <f>IFERROR('Data Sheet'!K26,0)</f>
        <v>1816.39</v>
      </c>
      <c r="M24" s="86">
        <f>IFERROR(SUM('Data Sheet'!H45:K45),0)</f>
        <v>1872.5</v>
      </c>
    </row>
    <row r="25" spans="2:15" x14ac:dyDescent="0.25">
      <c r="B25" s="81" t="s">
        <v>162</v>
      </c>
      <c r="C25" s="83">
        <f>C24/C6</f>
        <v>2.6482109067770303E-2</v>
      </c>
      <c r="D25" s="83">
        <f t="shared" ref="D25:M25" si="8">D24/D6</f>
        <v>2.7490234001240049E-2</v>
      </c>
      <c r="E25" s="83">
        <f t="shared" si="8"/>
        <v>2.6954750792656124E-2</v>
      </c>
      <c r="F25" s="83">
        <f t="shared" si="8"/>
        <v>2.845362855802696E-2</v>
      </c>
      <c r="G25" s="83">
        <f t="shared" si="8"/>
        <v>2.8891645314253867E-2</v>
      </c>
      <c r="H25" s="83">
        <f t="shared" si="8"/>
        <v>3.3306066085280348E-2</v>
      </c>
      <c r="I25" s="83">
        <f t="shared" si="8"/>
        <v>3.3407941336792708E-2</v>
      </c>
      <c r="J25" s="83">
        <f t="shared" si="8"/>
        <v>2.8566627762367396E-2</v>
      </c>
      <c r="K25" s="83">
        <f t="shared" si="8"/>
        <v>2.550810410125463E-2</v>
      </c>
      <c r="L25" s="83">
        <f t="shared" si="8"/>
        <v>2.5631252802816348E-2</v>
      </c>
      <c r="M25" s="83">
        <f t="shared" si="8"/>
        <v>2.5944292581234735E-2</v>
      </c>
    </row>
    <row r="27" spans="2:15" x14ac:dyDescent="0.25">
      <c r="B27" s="84" t="s">
        <v>163</v>
      </c>
      <c r="C27" s="85">
        <f>IFERROR(C18-SUM(C24,C21),0)</f>
        <v>13132.700000000004</v>
      </c>
      <c r="D27" s="85">
        <f t="shared" ref="D27:M27" si="9">IFERROR(D18-SUM(D24,D21),0)</f>
        <v>13375.96</v>
      </c>
      <c r="E27" s="85">
        <f t="shared" si="9"/>
        <v>14267.69</v>
      </c>
      <c r="F27" s="85">
        <f t="shared" si="9"/>
        <v>15169.300000000003</v>
      </c>
      <c r="G27" s="85">
        <f t="shared" si="9"/>
        <v>17069.38</v>
      </c>
      <c r="H27" s="85">
        <f t="shared" si="9"/>
        <v>17617.25</v>
      </c>
      <c r="I27" s="87">
        <f t="shared" si="9"/>
        <v>15361.22</v>
      </c>
      <c r="J27" s="87">
        <f t="shared" si="9"/>
        <v>18830.749999999993</v>
      </c>
      <c r="K27" s="87">
        <f t="shared" si="9"/>
        <v>23817.479999999996</v>
      </c>
      <c r="L27" s="87">
        <f t="shared" si="9"/>
        <v>24336.110000000004</v>
      </c>
      <c r="M27" s="87">
        <f t="shared" si="9"/>
        <v>26064.01</v>
      </c>
    </row>
    <row r="28" spans="2:15" x14ac:dyDescent="0.25">
      <c r="B28" s="81" t="s">
        <v>164</v>
      </c>
      <c r="C28" s="83">
        <f>C27/C6</f>
        <v>0.33832210762510911</v>
      </c>
      <c r="D28" s="83">
        <f t="shared" ref="D28:M28" si="10">D27/D6</f>
        <v>0.34129225022389714</v>
      </c>
      <c r="E28" s="83">
        <f t="shared" si="10"/>
        <v>0.33360978871856267</v>
      </c>
      <c r="F28" s="83">
        <f t="shared" si="10"/>
        <v>0.34912934584825317</v>
      </c>
      <c r="G28" s="83">
        <f t="shared" si="10"/>
        <v>0.3531139492730388</v>
      </c>
      <c r="H28" s="83">
        <f t="shared" si="10"/>
        <v>0.35671331120906624</v>
      </c>
      <c r="I28" s="83">
        <f t="shared" si="10"/>
        <v>0.31185577004087706</v>
      </c>
      <c r="J28" s="83">
        <f t="shared" si="10"/>
        <v>0.31051022895053687</v>
      </c>
      <c r="K28" s="83">
        <f t="shared" si="10"/>
        <v>0.33584046482305235</v>
      </c>
      <c r="L28" s="83">
        <f t="shared" si="10"/>
        <v>0.34340917294586903</v>
      </c>
      <c r="M28" s="83">
        <f t="shared" si="10"/>
        <v>0.36112806476914705</v>
      </c>
    </row>
    <row r="30" spans="2:15" x14ac:dyDescent="0.25">
      <c r="B30" t="s">
        <v>118</v>
      </c>
      <c r="C30" s="80">
        <f>IFERROR('Data Sheet'!B29,0)</f>
        <v>4596.42</v>
      </c>
      <c r="D30" s="80">
        <f>IFERROR('Data Sheet'!C29,0)</f>
        <v>5358.21</v>
      </c>
      <c r="E30" s="80">
        <f>IFERROR('Data Sheet'!D29,0)</f>
        <v>5549.09</v>
      </c>
      <c r="F30" s="80">
        <f>IFERROR('Data Sheet'!E29,0)</f>
        <v>5916.43</v>
      </c>
      <c r="G30" s="80">
        <f>IFERROR('Data Sheet'!F29,0)</f>
        <v>6313.92</v>
      </c>
      <c r="H30" s="80">
        <f>IFERROR('Data Sheet'!G29,0)</f>
        <v>4441.79</v>
      </c>
      <c r="I30" s="80">
        <f>IFERROR('Data Sheet'!H29,0)</f>
        <v>4555.29</v>
      </c>
      <c r="J30" s="80">
        <f>IFERROR('Data Sheet'!I29,0)</f>
        <v>5237.34</v>
      </c>
      <c r="K30" s="80">
        <f>IFERROR('Data Sheet'!J29,0)</f>
        <v>6438.4</v>
      </c>
      <c r="L30" s="80">
        <f>IFERROR('Data Sheet'!K29,0)</f>
        <v>6388.52</v>
      </c>
      <c r="M30" s="80">
        <f>IFERROR(SUM('Data Sheet'!H48:K48),0)</f>
        <v>6389.6900000000005</v>
      </c>
    </row>
    <row r="31" spans="2:15" x14ac:dyDescent="0.25">
      <c r="B31" s="81" t="s">
        <v>121</v>
      </c>
      <c r="C31" s="83">
        <f>C30/C27</f>
        <v>0.34999809635490026</v>
      </c>
      <c r="D31" s="83">
        <f t="shared" ref="D31:M31" si="11">D30/D27</f>
        <v>0.40058507950083588</v>
      </c>
      <c r="E31" s="83">
        <f t="shared" si="11"/>
        <v>0.3889270092075171</v>
      </c>
      <c r="F31" s="83">
        <f t="shared" si="11"/>
        <v>0.3900265668158715</v>
      </c>
      <c r="G31" s="83">
        <f t="shared" si="11"/>
        <v>0.36989744208635578</v>
      </c>
      <c r="H31" s="83">
        <f t="shared" si="11"/>
        <v>0.25212731839532276</v>
      </c>
      <c r="I31" s="83">
        <f t="shared" si="11"/>
        <v>0.29654480568600672</v>
      </c>
      <c r="J31" s="83">
        <f t="shared" si="11"/>
        <v>0.27812699972120081</v>
      </c>
      <c r="K31" s="83">
        <f t="shared" si="11"/>
        <v>0.27032246904374435</v>
      </c>
      <c r="L31" s="83">
        <f t="shared" si="11"/>
        <v>0.26251196267603982</v>
      </c>
      <c r="M31" s="83">
        <f t="shared" si="11"/>
        <v>0.2451537579980978</v>
      </c>
      <c r="O31" s="20"/>
    </row>
    <row r="33" spans="1:13" x14ac:dyDescent="0.25">
      <c r="B33" s="84" t="s">
        <v>165</v>
      </c>
      <c r="C33" s="87">
        <f>IFERROR(C27-C30,0)</f>
        <v>8536.2800000000043</v>
      </c>
      <c r="D33" s="87">
        <f t="shared" ref="D33:M33" si="12">IFERROR(D27-D30,0)</f>
        <v>8017.7499999999991</v>
      </c>
      <c r="E33" s="87">
        <f t="shared" si="12"/>
        <v>8718.6</v>
      </c>
      <c r="F33" s="87">
        <f t="shared" si="12"/>
        <v>9252.8700000000026</v>
      </c>
      <c r="G33" s="87">
        <f t="shared" si="12"/>
        <v>10755.460000000001</v>
      </c>
      <c r="H33" s="87">
        <f t="shared" si="12"/>
        <v>13175.46</v>
      </c>
      <c r="I33" s="87">
        <f t="shared" si="12"/>
        <v>10805.93</v>
      </c>
      <c r="J33" s="87">
        <f t="shared" si="12"/>
        <v>13593.409999999993</v>
      </c>
      <c r="K33" s="87">
        <f t="shared" si="12"/>
        <v>17379.079999999994</v>
      </c>
      <c r="L33" s="87">
        <f t="shared" si="12"/>
        <v>17947.590000000004</v>
      </c>
      <c r="M33" s="87">
        <f t="shared" si="12"/>
        <v>19674.32</v>
      </c>
    </row>
    <row r="34" spans="1:13" x14ac:dyDescent="0.25">
      <c r="B34" s="81" t="s">
        <v>166</v>
      </c>
      <c r="C34" s="83">
        <f>C33/C6</f>
        <v>0.21991001400154322</v>
      </c>
      <c r="D34" s="83">
        <f t="shared" ref="D34:M34" si="13">D33/D6</f>
        <v>0.20457566703493815</v>
      </c>
      <c r="E34" s="83">
        <f t="shared" si="13"/>
        <v>0.20385993134990041</v>
      </c>
      <c r="F34" s="83">
        <f t="shared" si="13"/>
        <v>0.21295962571238797</v>
      </c>
      <c r="G34" s="83">
        <f t="shared" si="13"/>
        <v>0.22249800267193054</v>
      </c>
      <c r="H34" s="83">
        <f t="shared" si="13"/>
        <v>0.26677614061800814</v>
      </c>
      <c r="I34" s="83">
        <f t="shared" si="13"/>
        <v>0.21937656131204519</v>
      </c>
      <c r="J34" s="83">
        <f t="shared" si="13"/>
        <v>0.2241489505897809</v>
      </c>
      <c r="K34" s="83">
        <f t="shared" si="13"/>
        <v>0.24505524116728605</v>
      </c>
      <c r="L34" s="83">
        <f t="shared" si="13"/>
        <v>0.25326015695489335</v>
      </c>
      <c r="M34" s="83">
        <f t="shared" si="13"/>
        <v>0.27259616257241021</v>
      </c>
    </row>
    <row r="36" spans="1:13" x14ac:dyDescent="0.25">
      <c r="B36" t="s">
        <v>167</v>
      </c>
      <c r="C36">
        <f>IFERROR('Data Sheet'!B93,0)</f>
        <v>1202.33</v>
      </c>
      <c r="D36">
        <f>IFERROR('Data Sheet'!C93,0)</f>
        <v>1207.08</v>
      </c>
      <c r="E36">
        <f>IFERROR('Data Sheet'!D93,0)</f>
        <v>1214.74</v>
      </c>
      <c r="F36">
        <f>IFERROR('Data Sheet'!E93,0)</f>
        <v>1220.43</v>
      </c>
      <c r="G36">
        <f>IFERROR('Data Sheet'!F93,0)</f>
        <v>1225.8599999999999</v>
      </c>
      <c r="H36">
        <f>IFERROR('Data Sheet'!G93,0)</f>
        <v>1229.22</v>
      </c>
      <c r="I36">
        <f>IFERROR('Data Sheet'!H93,0)</f>
        <v>1230.8800000000001</v>
      </c>
      <c r="J36">
        <f>IFERROR('Data Sheet'!I93,0)</f>
        <v>1232.33</v>
      </c>
      <c r="K36">
        <f>IFERROR('Data Sheet'!J93,0)</f>
        <v>1242.8</v>
      </c>
      <c r="L36">
        <f>IFERROR('Data Sheet'!K93,0)</f>
        <v>1248.47</v>
      </c>
      <c r="M36">
        <f>L36</f>
        <v>1248.47</v>
      </c>
    </row>
    <row r="37" spans="1:13" x14ac:dyDescent="0.25">
      <c r="C37" s="86"/>
      <c r="D37" s="86"/>
      <c r="E37" s="86"/>
      <c r="F37" s="86"/>
      <c r="G37" s="86"/>
      <c r="H37" s="86"/>
      <c r="I37" s="86"/>
      <c r="J37" s="86"/>
      <c r="K37" s="86"/>
      <c r="L37" s="86"/>
      <c r="M37" s="86"/>
    </row>
    <row r="38" spans="1:13" x14ac:dyDescent="0.25">
      <c r="B38" t="s">
        <v>168</v>
      </c>
      <c r="C38" s="86">
        <f>IFERROR(C33/C36,0)</f>
        <v>7.0997812580572761</v>
      </c>
      <c r="D38" s="86">
        <f t="shared" ref="D38:M38" si="14">IFERROR(D33/D36,0)</f>
        <v>6.6422689465486959</v>
      </c>
      <c r="E38" s="86">
        <f t="shared" si="14"/>
        <v>7.1773383604722003</v>
      </c>
      <c r="F38" s="86">
        <f t="shared" si="14"/>
        <v>7.5816474521275303</v>
      </c>
      <c r="G38" s="86">
        <f t="shared" si="14"/>
        <v>8.7738077757655866</v>
      </c>
      <c r="H38" s="86">
        <f t="shared" si="14"/>
        <v>10.718553228876848</v>
      </c>
      <c r="I38" s="86">
        <f t="shared" si="14"/>
        <v>8.7790280124788769</v>
      </c>
      <c r="J38" s="86">
        <f t="shared" si="14"/>
        <v>11.030657372619341</v>
      </c>
      <c r="K38" s="86">
        <f t="shared" si="14"/>
        <v>13.983810749919533</v>
      </c>
      <c r="L38" s="86">
        <f t="shared" si="14"/>
        <v>14.375667817408511</v>
      </c>
      <c r="M38" s="86">
        <f t="shared" si="14"/>
        <v>15.758744703517104</v>
      </c>
    </row>
    <row r="39" spans="1:13" x14ac:dyDescent="0.25">
      <c r="B39" s="81" t="s">
        <v>169</v>
      </c>
      <c r="C39" s="83"/>
      <c r="D39" s="83">
        <f>IFERROR(D38/C38-1,0)</f>
        <v>-6.4440339058244422E-2</v>
      </c>
      <c r="E39" s="83">
        <f t="shared" ref="E39:M39" si="15">IFERROR(E38/D38-1,0)</f>
        <v>8.0555216632943516E-2</v>
      </c>
      <c r="F39" s="83">
        <f t="shared" si="15"/>
        <v>5.633134058190481E-2</v>
      </c>
      <c r="G39" s="83">
        <f t="shared" si="15"/>
        <v>0.15724291206702268</v>
      </c>
      <c r="H39" s="83">
        <f t="shared" si="15"/>
        <v>0.22165352864042731</v>
      </c>
      <c r="I39" s="83">
        <f t="shared" si="15"/>
        <v>-0.18095028078721465</v>
      </c>
      <c r="J39" s="83">
        <f t="shared" si="15"/>
        <v>0.25647820657821163</v>
      </c>
      <c r="K39" s="83">
        <f t="shared" si="15"/>
        <v>0.26772233762156428</v>
      </c>
      <c r="L39" s="83">
        <f t="shared" si="15"/>
        <v>2.8022194700484837E-2</v>
      </c>
      <c r="M39" s="83">
        <f t="shared" si="15"/>
        <v>9.620957465598412E-2</v>
      </c>
    </row>
    <row r="41" spans="1:13" x14ac:dyDescent="0.25">
      <c r="B41" t="s">
        <v>170</v>
      </c>
      <c r="C41" s="88">
        <f>IFERROR('Data Sheet'!B31/'Historical FS'!D36,0)</f>
        <v>4.1502551612154948</v>
      </c>
      <c r="D41" s="88">
        <f>IFERROR('Data Sheet'!C31/'Historical FS'!E36,0)</f>
        <v>5.6309333684574474</v>
      </c>
      <c r="E41" s="88">
        <f>IFERROR('Data Sheet'!D31/'Historical FS'!F36,0)</f>
        <v>4.7278582139082124</v>
      </c>
      <c r="F41" s="88">
        <f>IFERROR('Data Sheet'!E31/'Historical FS'!G36,0)</f>
        <v>5.1271841809015717</v>
      </c>
      <c r="G41" s="88">
        <f>IFERROR('Data Sheet'!F31/'Historical FS'!H36,0)</f>
        <v>5.7342867834887166</v>
      </c>
      <c r="H41" s="88">
        <f>IFERROR('Data Sheet'!G31/'Historical FS'!I36,0)</f>
        <v>10.136308982191602</v>
      </c>
      <c r="I41" s="88">
        <f>IFERROR('Data Sheet'!H31/'Historical FS'!J36,0)</f>
        <v>10.73735119651392</v>
      </c>
      <c r="J41" s="88">
        <f>IFERROR('Data Sheet'!I31/'Historical FS'!K36,0)</f>
        <v>11.40312198261989</v>
      </c>
      <c r="K41" s="88">
        <f>IFERROR('Data Sheet'!J31/'Historical FS'!L36,0)</f>
        <v>15.429605837545155</v>
      </c>
      <c r="L41" s="88">
        <f>IFERROR('Data Sheet'!K31/'Historical FS'!M36,0)</f>
        <v>13.749997997548999</v>
      </c>
      <c r="M41" s="88">
        <f>IFERROR('Data Sheet'!L31/'Historical FS'!N36,0)</f>
        <v>0</v>
      </c>
    </row>
    <row r="42" spans="1:13" x14ac:dyDescent="0.25">
      <c r="B42" s="81" t="s">
        <v>171</v>
      </c>
      <c r="C42" s="83">
        <f>IFERROR(C41/C38,0)</f>
        <v>0.58456099003128092</v>
      </c>
      <c r="D42" s="83">
        <f t="shared" ref="D42:M42" si="16">IFERROR(D41/D38,0)</f>
        <v>0.84774245273270132</v>
      </c>
      <c r="E42" s="83">
        <f t="shared" si="16"/>
        <v>0.65872026320313604</v>
      </c>
      <c r="F42" s="83">
        <f t="shared" si="16"/>
        <v>0.67626254231365013</v>
      </c>
      <c r="G42" s="83">
        <f t="shared" si="16"/>
        <v>0.65356877310756367</v>
      </c>
      <c r="H42" s="83">
        <f t="shared" si="16"/>
        <v>0.94567883983478085</v>
      </c>
      <c r="I42" s="83">
        <f t="shared" si="16"/>
        <v>1.2230683375484621</v>
      </c>
      <c r="J42" s="83">
        <f t="shared" si="16"/>
        <v>1.0337663112377231</v>
      </c>
      <c r="K42" s="83">
        <f t="shared" si="16"/>
        <v>1.1033906360348835</v>
      </c>
      <c r="L42" s="83">
        <f t="shared" si="16"/>
        <v>0.95647716490069112</v>
      </c>
      <c r="M42" s="83">
        <f t="shared" si="16"/>
        <v>0</v>
      </c>
    </row>
    <row r="44" spans="1:13" x14ac:dyDescent="0.25">
      <c r="B44" t="s">
        <v>172</v>
      </c>
      <c r="C44" s="11">
        <f>IFERROR(IF(C38&gt;C41,1-C42,0),0)</f>
        <v>0.41543900996871908</v>
      </c>
      <c r="D44" s="11">
        <f t="shared" ref="D44:M44" si="17">IFERROR(IF(D38&gt;D41,1-D42,0),0)</f>
        <v>0.15225754726729868</v>
      </c>
      <c r="E44" s="11">
        <f t="shared" si="17"/>
        <v>0.34127973679686396</v>
      </c>
      <c r="F44" s="11">
        <f t="shared" si="17"/>
        <v>0.32373745768634987</v>
      </c>
      <c r="G44" s="11">
        <f t="shared" si="17"/>
        <v>0.34643122689243633</v>
      </c>
      <c r="H44" s="11">
        <f t="shared" si="17"/>
        <v>5.4321160165219151E-2</v>
      </c>
      <c r="I44" s="11">
        <f t="shared" si="17"/>
        <v>0</v>
      </c>
      <c r="J44" s="11">
        <f t="shared" si="17"/>
        <v>0</v>
      </c>
      <c r="K44" s="11">
        <f t="shared" si="17"/>
        <v>0</v>
      </c>
      <c r="L44" s="11">
        <f t="shared" si="17"/>
        <v>4.3522835099308876E-2</v>
      </c>
      <c r="M44" s="11">
        <f t="shared" si="17"/>
        <v>1</v>
      </c>
    </row>
    <row r="46" spans="1:13" x14ac:dyDescent="0.25">
      <c r="A46" t="s">
        <v>94</v>
      </c>
      <c r="B46" s="78" t="s">
        <v>173</v>
      </c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</row>
    <row r="47" spans="1:13" x14ac:dyDescent="0.25">
      <c r="B47" t="s">
        <v>127</v>
      </c>
      <c r="C47" s="80">
        <f>IFERROR('Data Sheet'!B57,0)</f>
        <v>801.55</v>
      </c>
      <c r="D47" s="80">
        <f>IFERROR('Data Sheet'!C57,0)</f>
        <v>804.72</v>
      </c>
      <c r="E47" s="80">
        <f>IFERROR('Data Sheet'!D57,0)</f>
        <v>1214.74</v>
      </c>
      <c r="F47" s="80">
        <f>IFERROR('Data Sheet'!E57,0)</f>
        <v>1220.43</v>
      </c>
      <c r="G47" s="80">
        <f>IFERROR('Data Sheet'!F57,0)</f>
        <v>1225.8599999999999</v>
      </c>
      <c r="H47" s="80">
        <f>IFERROR('Data Sheet'!G57,0)</f>
        <v>1229.22</v>
      </c>
      <c r="I47" s="80">
        <f>IFERROR('Data Sheet'!H57,0)</f>
        <v>1230.8800000000001</v>
      </c>
      <c r="J47" s="80">
        <f>IFERROR('Data Sheet'!I57,0)</f>
        <v>1232.33</v>
      </c>
      <c r="K47" s="80">
        <f>IFERROR('Data Sheet'!J57,0)</f>
        <v>1242.8</v>
      </c>
      <c r="L47" s="80">
        <f>IFERROR('Data Sheet'!K57,0)</f>
        <v>1248.47</v>
      </c>
    </row>
    <row r="48" spans="1:13" x14ac:dyDescent="0.25">
      <c r="B48" t="s">
        <v>128</v>
      </c>
      <c r="C48" s="80">
        <f>IFERROR('Data Sheet'!B58,0)</f>
        <v>30933.94</v>
      </c>
      <c r="D48" s="80">
        <f>IFERROR('Data Sheet'!C58,0)</f>
        <v>41874.800000000003</v>
      </c>
      <c r="E48" s="80">
        <f>IFERROR('Data Sheet'!D58,0)</f>
        <v>45198.19</v>
      </c>
      <c r="F48" s="80">
        <f>IFERROR('Data Sheet'!E58,0)</f>
        <v>51289.68</v>
      </c>
      <c r="G48" s="80">
        <f>IFERROR('Data Sheet'!F58,0)</f>
        <v>57915.01</v>
      </c>
      <c r="H48" s="80">
        <f>IFERROR('Data Sheet'!G58,0)</f>
        <v>64044.04</v>
      </c>
      <c r="I48" s="80">
        <f>IFERROR('Data Sheet'!H58,0)</f>
        <v>59116.46</v>
      </c>
      <c r="J48" s="80">
        <f>IFERROR('Data Sheet'!I58,0)</f>
        <v>61223.24</v>
      </c>
      <c r="K48" s="80">
        <f>IFERROR('Data Sheet'!J58,0)</f>
        <v>67912.460000000006</v>
      </c>
      <c r="L48" s="80">
        <f>IFERROR('Data Sheet'!K58,0)</f>
        <v>73258.53</v>
      </c>
    </row>
    <row r="49" spans="2:13" x14ac:dyDescent="0.25">
      <c r="B49" t="s">
        <v>129</v>
      </c>
      <c r="C49" s="80">
        <f>IFERROR('Data Sheet'!B59,0)</f>
        <v>268.8</v>
      </c>
      <c r="D49" s="80">
        <f>IFERROR('Data Sheet'!C59,0)</f>
        <v>83.78</v>
      </c>
      <c r="E49" s="80">
        <f>IFERROR('Data Sheet'!D59,0)</f>
        <v>45.72</v>
      </c>
      <c r="F49" s="80">
        <f>IFERROR('Data Sheet'!E59,0)</f>
        <v>35.92</v>
      </c>
      <c r="G49" s="80">
        <f>IFERROR('Data Sheet'!F59,0)</f>
        <v>13.44</v>
      </c>
      <c r="H49" s="80">
        <f>IFERROR('Data Sheet'!G59,0)</f>
        <v>277.45</v>
      </c>
      <c r="I49" s="80">
        <f>IFERROR('Data Sheet'!H59,0)</f>
        <v>270.83</v>
      </c>
      <c r="J49" s="80">
        <f>IFERROR('Data Sheet'!I59,0)</f>
        <v>249.44</v>
      </c>
      <c r="K49" s="80">
        <f>IFERROR('Data Sheet'!J59,0)</f>
        <v>306.04000000000002</v>
      </c>
      <c r="L49" s="80">
        <f>IFERROR('Data Sheet'!K59,0)</f>
        <v>303.43</v>
      </c>
    </row>
    <row r="50" spans="2:13" x14ac:dyDescent="0.25">
      <c r="B50" t="s">
        <v>130</v>
      </c>
      <c r="C50" s="80">
        <f>IFERROR('Data Sheet'!B60,0)</f>
        <v>13947.93</v>
      </c>
      <c r="D50" s="80">
        <f>IFERROR('Data Sheet'!C60,0)</f>
        <v>8888.0400000000009</v>
      </c>
      <c r="E50" s="80">
        <f>IFERROR('Data Sheet'!D60,0)</f>
        <v>9439.67</v>
      </c>
      <c r="F50" s="80">
        <f>IFERROR('Data Sheet'!E60,0)</f>
        <v>11694.85</v>
      </c>
      <c r="G50" s="80">
        <f>IFERROR('Data Sheet'!F60,0)</f>
        <v>12584.73</v>
      </c>
      <c r="H50" s="80">
        <f>IFERROR('Data Sheet'!G60,0)</f>
        <v>11760.04</v>
      </c>
      <c r="I50" s="80">
        <f>IFERROR('Data Sheet'!H60,0)</f>
        <v>13142.59</v>
      </c>
      <c r="J50" s="80">
        <f>IFERROR('Data Sheet'!I60,0)</f>
        <v>14491.01</v>
      </c>
      <c r="K50" s="80">
        <f>IFERROR('Data Sheet'!J60,0)</f>
        <v>16369.66</v>
      </c>
      <c r="L50" s="80">
        <f>IFERROR('Data Sheet'!K60,0)</f>
        <v>16943.54</v>
      </c>
    </row>
    <row r="51" spans="2:13" x14ac:dyDescent="0.25">
      <c r="B51" s="84" t="s">
        <v>174</v>
      </c>
      <c r="C51" s="90">
        <f>IFERROR('Data Sheet'!B61,0)</f>
        <v>45952.22</v>
      </c>
      <c r="D51" s="90">
        <f>IFERROR('Data Sheet'!C61,0)</f>
        <v>51651.34</v>
      </c>
      <c r="E51" s="90">
        <f>IFERROR('Data Sheet'!D61,0)</f>
        <v>55898.32</v>
      </c>
      <c r="F51" s="90">
        <f>IFERROR('Data Sheet'!E61,0)</f>
        <v>64240.88</v>
      </c>
      <c r="G51" s="90">
        <f>IFERROR('Data Sheet'!F61,0)</f>
        <v>71739.039999999994</v>
      </c>
      <c r="H51" s="90">
        <f>IFERROR('Data Sheet'!G61,0)</f>
        <v>77310.75</v>
      </c>
      <c r="I51" s="90">
        <f>IFERROR('Data Sheet'!H61,0)</f>
        <v>73760.759999999995</v>
      </c>
      <c r="J51" s="90">
        <f>IFERROR('Data Sheet'!I61,0)</f>
        <v>77196.02</v>
      </c>
      <c r="K51" s="90">
        <f>IFERROR('Data Sheet'!J61,0)</f>
        <v>85830.96</v>
      </c>
      <c r="L51" s="90">
        <f>IFERROR('Data Sheet'!K61,0)</f>
        <v>91753.97</v>
      </c>
      <c r="M51" s="37"/>
    </row>
    <row r="53" spans="2:13" x14ac:dyDescent="0.25">
      <c r="B53" t="s">
        <v>175</v>
      </c>
      <c r="C53" s="80">
        <f>IFERROR('Data Sheet'!B62,0)</f>
        <v>15303.28</v>
      </c>
      <c r="D53" s="80">
        <f>IFERROR('Data Sheet'!C62,0)</f>
        <v>15106.63</v>
      </c>
      <c r="E53" s="80">
        <f>IFERROR('Data Sheet'!D62,0)</f>
        <v>15893.48</v>
      </c>
      <c r="F53" s="80">
        <f>IFERROR('Data Sheet'!E62,0)</f>
        <v>16523.96</v>
      </c>
      <c r="G53" s="80">
        <f>IFERROR('Data Sheet'!F62,0)</f>
        <v>19374.189999999999</v>
      </c>
      <c r="H53" s="80">
        <f>IFERROR('Data Sheet'!G62,0)</f>
        <v>21713.34</v>
      </c>
      <c r="I53" s="80">
        <f>IFERROR('Data Sheet'!H62,0)</f>
        <v>23298.48</v>
      </c>
      <c r="J53" s="80">
        <f>IFERROR('Data Sheet'!I62,0)</f>
        <v>24231.59</v>
      </c>
      <c r="K53" s="80">
        <f>IFERROR('Data Sheet'!J62,0)</f>
        <v>25851.27</v>
      </c>
      <c r="L53" s="80">
        <f>IFERROR('Data Sheet'!K62,0)</f>
        <v>27820.22</v>
      </c>
    </row>
    <row r="54" spans="2:13" x14ac:dyDescent="0.25">
      <c r="B54" t="s">
        <v>132</v>
      </c>
      <c r="C54" s="80">
        <f>IFERROR('Data Sheet'!B63,0)</f>
        <v>2700.2</v>
      </c>
      <c r="D54" s="80">
        <f>IFERROR('Data Sheet'!C63,0)</f>
        <v>2559.7199999999998</v>
      </c>
      <c r="E54" s="80">
        <f>IFERROR('Data Sheet'!D63,0)</f>
        <v>3729.89</v>
      </c>
      <c r="F54" s="80">
        <f>IFERROR('Data Sheet'!E63,0)</f>
        <v>5508.33</v>
      </c>
      <c r="G54" s="80">
        <f>IFERROR('Data Sheet'!F63,0)</f>
        <v>4136.42</v>
      </c>
      <c r="H54" s="80">
        <f>IFERROR('Data Sheet'!G63,0)</f>
        <v>3256.46</v>
      </c>
      <c r="I54" s="80">
        <f>IFERROR('Data Sheet'!H63,0)</f>
        <v>4011.29</v>
      </c>
      <c r="J54" s="80">
        <f>IFERROR('Data Sheet'!I63,0)</f>
        <v>3225.54</v>
      </c>
      <c r="K54" s="80">
        <f>IFERROR('Data Sheet'!J63,0)</f>
        <v>3003.3</v>
      </c>
      <c r="L54" s="80">
        <f>IFERROR('Data Sheet'!K63,0)</f>
        <v>2860.78</v>
      </c>
    </row>
    <row r="55" spans="2:13" x14ac:dyDescent="0.25">
      <c r="B55" t="s">
        <v>133</v>
      </c>
      <c r="C55" s="80">
        <f>IFERROR('Data Sheet'!B64,0)</f>
        <v>6942.77</v>
      </c>
      <c r="D55" s="80">
        <f>IFERROR('Data Sheet'!C64,0)</f>
        <v>11747.59</v>
      </c>
      <c r="E55" s="80">
        <f>IFERROR('Data Sheet'!D64,0)</f>
        <v>17581.38</v>
      </c>
      <c r="F55" s="80">
        <f>IFERROR('Data Sheet'!E64,0)</f>
        <v>22052.86</v>
      </c>
      <c r="G55" s="80">
        <f>IFERROR('Data Sheet'!F64,0)</f>
        <v>25043.49</v>
      </c>
      <c r="H55" s="80">
        <f>IFERROR('Data Sheet'!G64,0)</f>
        <v>28663.35</v>
      </c>
      <c r="I55" s="80">
        <f>IFERROR('Data Sheet'!H64,0)</f>
        <v>24870.87</v>
      </c>
      <c r="J55" s="80">
        <f>IFERROR('Data Sheet'!I64,0)</f>
        <v>24841.01</v>
      </c>
      <c r="K55" s="80">
        <f>IFERROR('Data Sheet'!J64,0)</f>
        <v>29415.02</v>
      </c>
      <c r="L55" s="80">
        <f>IFERROR('Data Sheet'!K64,0)</f>
        <v>31114.02</v>
      </c>
    </row>
    <row r="56" spans="2:13" x14ac:dyDescent="0.25">
      <c r="B56" t="s">
        <v>134</v>
      </c>
      <c r="C56" s="80">
        <f>IFERROR('Data Sheet'!B65-SUM('Data Sheet'!B67:B69),0)</f>
        <v>2540.8100000000013</v>
      </c>
      <c r="D56" s="80">
        <f>IFERROR('Data Sheet'!C65-SUM('Data Sheet'!C67:C69),0)</f>
        <v>5194.82</v>
      </c>
      <c r="E56" s="80">
        <f>IFERROR('Data Sheet'!D65-SUM('Data Sheet'!D67:D69),0)</f>
        <v>5135.7800000000007</v>
      </c>
      <c r="F56" s="80">
        <f>IFERROR('Data Sheet'!E65-SUM('Data Sheet'!E67:E69),0)</f>
        <v>7078.7499999999982</v>
      </c>
      <c r="G56" s="80">
        <f>IFERROR('Data Sheet'!F65-SUM('Data Sheet'!F67:F69),0)</f>
        <v>7138.07</v>
      </c>
      <c r="H56" s="80">
        <f>IFERROR('Data Sheet'!G65-SUM('Data Sheet'!G67:G69),0)</f>
        <v>4958.4499999999971</v>
      </c>
      <c r="I56" s="80">
        <f>IFERROR('Data Sheet'!H65-SUM('Data Sheet'!H67:H69),0)</f>
        <v>4022.239999999998</v>
      </c>
      <c r="J56" s="80">
        <f>IFERROR('Data Sheet'!I65-SUM('Data Sheet'!I67:I69),0)</f>
        <v>6917.41</v>
      </c>
      <c r="K56" s="80">
        <f>IFERROR('Data Sheet'!J65-SUM('Data Sheet'!J67:J69),0)</f>
        <v>7953.8499999999985</v>
      </c>
      <c r="L56" s="80">
        <f>IFERROR('Data Sheet'!K65-SUM('Data Sheet'!K67:K69),0)</f>
        <v>4562.57</v>
      </c>
    </row>
    <row r="57" spans="2:13" x14ac:dyDescent="0.25">
      <c r="B57" s="84" t="s">
        <v>176</v>
      </c>
      <c r="C57" s="90">
        <f>IFERROR(SUM(C53:C56),0)</f>
        <v>27487.06</v>
      </c>
      <c r="D57" s="90">
        <f t="shared" ref="D57:L57" si="18">IFERROR(SUM(D53:D56),0)</f>
        <v>34608.759999999995</v>
      </c>
      <c r="E57" s="90">
        <f t="shared" si="18"/>
        <v>42340.53</v>
      </c>
      <c r="F57" s="90">
        <f t="shared" si="18"/>
        <v>51163.9</v>
      </c>
      <c r="G57" s="90">
        <f t="shared" si="18"/>
        <v>55692.170000000006</v>
      </c>
      <c r="H57" s="90">
        <f t="shared" si="18"/>
        <v>58591.599999999991</v>
      </c>
      <c r="I57" s="90">
        <f t="shared" si="18"/>
        <v>56202.879999999997</v>
      </c>
      <c r="J57" s="90">
        <f t="shared" si="18"/>
        <v>59215.55</v>
      </c>
      <c r="K57" s="90">
        <f t="shared" si="18"/>
        <v>66223.44</v>
      </c>
      <c r="L57" s="90">
        <f t="shared" si="18"/>
        <v>66357.59</v>
      </c>
    </row>
    <row r="58" spans="2:13" x14ac:dyDescent="0.25">
      <c r="B58" s="37"/>
    </row>
    <row r="59" spans="2:13" x14ac:dyDescent="0.25">
      <c r="B59" t="s">
        <v>135</v>
      </c>
      <c r="C59" s="80">
        <f>IFERROR('Data Sheet'!B67,0)</f>
        <v>1982.07</v>
      </c>
      <c r="D59" s="80">
        <f>IFERROR('Data Sheet'!C67,0)</f>
        <v>1917.18</v>
      </c>
      <c r="E59" s="80">
        <f>IFERROR('Data Sheet'!D67,0)</f>
        <v>2474.29</v>
      </c>
      <c r="F59" s="80">
        <f>IFERROR('Data Sheet'!E67,0)</f>
        <v>2682.29</v>
      </c>
      <c r="G59" s="80">
        <f>IFERROR('Data Sheet'!F67,0)</f>
        <v>4035.28</v>
      </c>
      <c r="H59" s="80">
        <f>IFERROR('Data Sheet'!G67,0)</f>
        <v>2562.48</v>
      </c>
      <c r="I59" s="80">
        <f>IFERROR('Data Sheet'!H67,0)</f>
        <v>2501.6999999999998</v>
      </c>
      <c r="J59" s="80">
        <f>IFERROR('Data Sheet'!I67,0)</f>
        <v>2461.9</v>
      </c>
      <c r="K59" s="80">
        <f>IFERROR('Data Sheet'!J67,0)</f>
        <v>2956.17</v>
      </c>
      <c r="L59" s="80">
        <f>IFERROR('Data Sheet'!K67,0)</f>
        <v>4025.82</v>
      </c>
    </row>
    <row r="60" spans="2:13" x14ac:dyDescent="0.25">
      <c r="B60" t="s">
        <v>136</v>
      </c>
      <c r="C60" s="80">
        <f>IFERROR('Data Sheet'!B68,0)</f>
        <v>8586.8700000000008</v>
      </c>
      <c r="D60" s="80">
        <f>IFERROR('Data Sheet'!C68,0)</f>
        <v>9062.1</v>
      </c>
      <c r="E60" s="80">
        <f>IFERROR('Data Sheet'!D68,0)</f>
        <v>8116.1</v>
      </c>
      <c r="F60" s="80">
        <f>IFERROR('Data Sheet'!E68,0)</f>
        <v>7495.09</v>
      </c>
      <c r="G60" s="80">
        <f>IFERROR('Data Sheet'!F68,0)</f>
        <v>7859.56</v>
      </c>
      <c r="H60" s="80">
        <f>IFERROR('Data Sheet'!G68,0)</f>
        <v>8879.33</v>
      </c>
      <c r="I60" s="80">
        <f>IFERROR('Data Sheet'!H68,0)</f>
        <v>10397.16</v>
      </c>
      <c r="J60" s="80">
        <f>IFERROR('Data Sheet'!I68,0)</f>
        <v>10864.15</v>
      </c>
      <c r="K60" s="80">
        <f>IFERROR('Data Sheet'!J68,0)</f>
        <v>11771.16</v>
      </c>
      <c r="L60" s="80">
        <f>IFERROR('Data Sheet'!K68,0)</f>
        <v>14152.88</v>
      </c>
    </row>
    <row r="61" spans="2:13" x14ac:dyDescent="0.25">
      <c r="B61" t="s">
        <v>137</v>
      </c>
      <c r="C61" s="80">
        <f>IFERROR('Data Sheet'!B69,0)</f>
        <v>7896.22</v>
      </c>
      <c r="D61" s="80">
        <f>IFERROR('Data Sheet'!C69,0)</f>
        <v>6063.3</v>
      </c>
      <c r="E61" s="80">
        <f>IFERROR('Data Sheet'!D69,0)</f>
        <v>2967.4</v>
      </c>
      <c r="F61" s="80">
        <f>IFERROR('Data Sheet'!E69,0)</f>
        <v>2899.6</v>
      </c>
      <c r="G61" s="80">
        <f>IFERROR('Data Sheet'!F69,0)</f>
        <v>4152.03</v>
      </c>
      <c r="H61" s="80">
        <f>IFERROR('Data Sheet'!G69,0)</f>
        <v>7277.34</v>
      </c>
      <c r="I61" s="80">
        <f>IFERROR('Data Sheet'!H69,0)</f>
        <v>4659.0200000000004</v>
      </c>
      <c r="J61" s="80">
        <f>IFERROR('Data Sheet'!I69,0)</f>
        <v>4654.42</v>
      </c>
      <c r="K61" s="80">
        <f>IFERROR('Data Sheet'!J69,0)</f>
        <v>4880.1899999999996</v>
      </c>
      <c r="L61" s="80">
        <f>IFERROR('Data Sheet'!K69,0)</f>
        <v>7217.68</v>
      </c>
    </row>
    <row r="62" spans="2:13" x14ac:dyDescent="0.25">
      <c r="B62" s="84" t="s">
        <v>177</v>
      </c>
      <c r="C62" s="87">
        <f>IFERROR(SUM(C59:C61),0)</f>
        <v>18465.16</v>
      </c>
      <c r="D62" s="87">
        <f t="shared" ref="D62:L62" si="19">IFERROR(SUM(D59:D61),0)</f>
        <v>17042.580000000002</v>
      </c>
      <c r="E62" s="87">
        <f t="shared" si="19"/>
        <v>13557.789999999999</v>
      </c>
      <c r="F62" s="87">
        <f t="shared" si="19"/>
        <v>13076.980000000001</v>
      </c>
      <c r="G62" s="87">
        <f t="shared" si="19"/>
        <v>16046.869999999999</v>
      </c>
      <c r="H62" s="87">
        <f t="shared" si="19"/>
        <v>18719.150000000001</v>
      </c>
      <c r="I62" s="87">
        <f t="shared" si="19"/>
        <v>17557.88</v>
      </c>
      <c r="J62" s="87">
        <f t="shared" si="19"/>
        <v>17980.47</v>
      </c>
      <c r="K62" s="87">
        <f t="shared" si="19"/>
        <v>19607.52</v>
      </c>
      <c r="L62" s="87">
        <f t="shared" si="19"/>
        <v>25396.38</v>
      </c>
    </row>
    <row r="64" spans="2:13" x14ac:dyDescent="0.25">
      <c r="B64" s="84" t="s">
        <v>178</v>
      </c>
      <c r="C64" s="87">
        <f>IFERROR(C62+C57,0)</f>
        <v>45952.22</v>
      </c>
      <c r="D64" s="87">
        <f t="shared" ref="D64:L64" si="20">IFERROR(D62+D57,0)</f>
        <v>51651.34</v>
      </c>
      <c r="E64" s="87">
        <f t="shared" si="20"/>
        <v>55898.32</v>
      </c>
      <c r="F64" s="87">
        <f t="shared" si="20"/>
        <v>64240.880000000005</v>
      </c>
      <c r="G64" s="87">
        <f t="shared" si="20"/>
        <v>71739.040000000008</v>
      </c>
      <c r="H64" s="87">
        <f t="shared" si="20"/>
        <v>77310.75</v>
      </c>
      <c r="I64" s="87">
        <f t="shared" si="20"/>
        <v>73760.759999999995</v>
      </c>
      <c r="J64" s="87">
        <f t="shared" si="20"/>
        <v>77196.02</v>
      </c>
      <c r="K64" s="87">
        <f t="shared" si="20"/>
        <v>85830.96</v>
      </c>
      <c r="L64" s="87">
        <f t="shared" si="20"/>
        <v>91753.97</v>
      </c>
    </row>
    <row r="66" spans="1:13" x14ac:dyDescent="0.25">
      <c r="B66" s="61" t="s">
        <v>179</v>
      </c>
      <c r="C66" s="61" t="b">
        <f>C64=C51</f>
        <v>1</v>
      </c>
      <c r="D66" s="61" t="b">
        <f t="shared" ref="D66:L66" si="21">D64=D51</f>
        <v>1</v>
      </c>
      <c r="E66" s="61" t="b">
        <f t="shared" si="21"/>
        <v>1</v>
      </c>
      <c r="F66" s="61" t="b">
        <f t="shared" si="21"/>
        <v>1</v>
      </c>
      <c r="G66" s="61" t="b">
        <f t="shared" si="21"/>
        <v>1</v>
      </c>
      <c r="H66" s="61" t="b">
        <f t="shared" si="21"/>
        <v>1</v>
      </c>
      <c r="I66" s="61" t="b">
        <f t="shared" si="21"/>
        <v>1</v>
      </c>
      <c r="J66" s="61" t="b">
        <f t="shared" si="21"/>
        <v>1</v>
      </c>
      <c r="K66" s="61" t="b">
        <f t="shared" si="21"/>
        <v>1</v>
      </c>
      <c r="L66" s="61" t="b">
        <f t="shared" si="21"/>
        <v>1</v>
      </c>
    </row>
    <row r="68" spans="1:13" x14ac:dyDescent="0.25">
      <c r="A68" t="s">
        <v>94</v>
      </c>
      <c r="B68" s="78" t="s">
        <v>180</v>
      </c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</row>
    <row r="69" spans="1:13" x14ac:dyDescent="0.25">
      <c r="B69" s="37"/>
    </row>
    <row r="70" spans="1:13" x14ac:dyDescent="0.25">
      <c r="B70" t="s">
        <v>181</v>
      </c>
      <c r="C70" s="80">
        <f>'Data Sheet'!B82</f>
        <v>9843.2000000000007</v>
      </c>
      <c r="D70" s="80">
        <f>'Data Sheet'!C82</f>
        <v>9799.0400000000009</v>
      </c>
      <c r="E70" s="80">
        <f>'Data Sheet'!D82</f>
        <v>10627.31</v>
      </c>
      <c r="F70" s="80">
        <f>'Data Sheet'!E82</f>
        <v>13169.4</v>
      </c>
      <c r="G70" s="80">
        <f>'Data Sheet'!F82</f>
        <v>12583.41</v>
      </c>
      <c r="H70" s="80">
        <f>'Data Sheet'!G82</f>
        <v>14689.66</v>
      </c>
      <c r="I70" s="80">
        <f>'Data Sheet'!H82</f>
        <v>12526.97</v>
      </c>
      <c r="J70" s="80">
        <f>'Data Sheet'!I82</f>
        <v>15775.51</v>
      </c>
      <c r="K70" s="80">
        <f>'Data Sheet'!J82</f>
        <v>18877.55</v>
      </c>
      <c r="L70" s="80">
        <f>'Data Sheet'!K82</f>
        <v>17178.86</v>
      </c>
    </row>
    <row r="72" spans="1:13" x14ac:dyDescent="0.25">
      <c r="B72" t="s">
        <v>182</v>
      </c>
      <c r="C72" s="80">
        <f>'Data Sheet'!B83</f>
        <v>-5275.43</v>
      </c>
      <c r="D72" s="80">
        <f>'Data Sheet'!C83</f>
        <v>-3920.73</v>
      </c>
      <c r="E72" s="80">
        <f>'Data Sheet'!D83</f>
        <v>-3250.93</v>
      </c>
      <c r="F72" s="80">
        <f>'Data Sheet'!E83</f>
        <v>-7113.89</v>
      </c>
      <c r="G72" s="80">
        <f>'Data Sheet'!F83</f>
        <v>-5545.68</v>
      </c>
      <c r="H72" s="80">
        <f>'Data Sheet'!G83</f>
        <v>-6174.02</v>
      </c>
      <c r="I72" s="80">
        <f>'Data Sheet'!H83</f>
        <v>5739.98</v>
      </c>
      <c r="J72" s="80">
        <f>'Data Sheet'!I83</f>
        <v>-2238.4899999999998</v>
      </c>
      <c r="K72" s="80">
        <f>'Data Sheet'!J83</f>
        <v>-5732.29</v>
      </c>
      <c r="L72" s="80">
        <f>'Data Sheet'!K83</f>
        <v>1562.77</v>
      </c>
    </row>
    <row r="74" spans="1:13" x14ac:dyDescent="0.25">
      <c r="B74" t="s">
        <v>183</v>
      </c>
      <c r="C74" s="80">
        <f>'Data Sheet'!B84</f>
        <v>-4661.03</v>
      </c>
      <c r="D74" s="80">
        <f>'Data Sheet'!C84</f>
        <v>-5612.52</v>
      </c>
      <c r="E74" s="80">
        <f>'Data Sheet'!D84</f>
        <v>-7301.03</v>
      </c>
      <c r="F74" s="80">
        <f>'Data Sheet'!E84</f>
        <v>-6221.13</v>
      </c>
      <c r="G74" s="80">
        <f>'Data Sheet'!F84</f>
        <v>-6868.64</v>
      </c>
      <c r="H74" s="80">
        <f>'Data Sheet'!G84</f>
        <v>-8181.48</v>
      </c>
      <c r="I74" s="80">
        <f>'Data Sheet'!H84</f>
        <v>-18633.830000000002</v>
      </c>
      <c r="J74" s="80">
        <f>'Data Sheet'!I84</f>
        <v>-13580.5</v>
      </c>
      <c r="K74" s="80">
        <f>'Data Sheet'!J84</f>
        <v>-13006.03</v>
      </c>
      <c r="L74" s="80">
        <f>'Data Sheet'!K84</f>
        <v>-18550.96</v>
      </c>
    </row>
    <row r="76" spans="1:13" x14ac:dyDescent="0.25">
      <c r="B76" s="37" t="s">
        <v>145</v>
      </c>
      <c r="C76" s="89">
        <f t="shared" ref="C76:L76" si="22">IFERROR(C70+C72+C74,0)</f>
        <v>-93.259999999999309</v>
      </c>
      <c r="D76" s="89">
        <f t="shared" si="22"/>
        <v>265.79000000000087</v>
      </c>
      <c r="E76" s="89">
        <f t="shared" si="22"/>
        <v>75.349999999999454</v>
      </c>
      <c r="F76" s="89">
        <f t="shared" si="22"/>
        <v>-165.6200000000008</v>
      </c>
      <c r="G76" s="89">
        <f t="shared" si="22"/>
        <v>169.08999999999924</v>
      </c>
      <c r="H76" s="89">
        <f t="shared" si="22"/>
        <v>334.15999999999985</v>
      </c>
      <c r="I76" s="89">
        <f t="shared" si="22"/>
        <v>-366.88000000000466</v>
      </c>
      <c r="J76" s="89">
        <f t="shared" si="22"/>
        <v>-43.479999999999563</v>
      </c>
      <c r="K76" s="89">
        <f t="shared" si="22"/>
        <v>139.22999999999774</v>
      </c>
      <c r="L76" s="89">
        <f t="shared" si="22"/>
        <v>190.67000000000189</v>
      </c>
    </row>
  </sheetData>
  <mergeCells count="1">
    <mergeCell ref="B2:M2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18"/>
  <sheetViews>
    <sheetView showGridLines="0" topLeftCell="A2" workbookViewId="0">
      <selection activeCell="O5" sqref="O5"/>
    </sheetView>
  </sheetViews>
  <sheetFormatPr defaultRowHeight="15" x14ac:dyDescent="0.25"/>
  <cols>
    <col min="1" max="1" width="1.85546875" customWidth="1"/>
    <col min="2" max="2" width="12.140625" bestFit="1" customWidth="1"/>
    <col min="3" max="3" width="9.85546875" bestFit="1" customWidth="1"/>
    <col min="5" max="5" width="12.7109375" bestFit="1" customWidth="1"/>
    <col min="7" max="7" width="12.42578125" bestFit="1" customWidth="1"/>
    <col min="10" max="10" width="12.7109375" bestFit="1" customWidth="1"/>
    <col min="12" max="12" width="12.140625" bestFit="1" customWidth="1"/>
    <col min="15" max="15" width="12.7109375" bestFit="1" customWidth="1"/>
  </cols>
  <sheetData>
    <row r="2" spans="2:15" x14ac:dyDescent="0.25">
      <c r="B2" s="187" t="str">
        <f>'Data Sheet'!$B$1&amp;" - "&amp;'Data Sheet'!$A$17&amp;" Forecasting"</f>
        <v>ITC LTD - Sales Forecasting</v>
      </c>
      <c r="C2" s="187"/>
      <c r="D2" s="187"/>
      <c r="E2" s="187"/>
      <c r="G2" s="187" t="str">
        <f>'Data Sheet'!$B$1&amp;" - "&amp;'Historical FS'!B18&amp;" Forecasting"</f>
        <v>ITC LTD - EBITDA Forecasting</v>
      </c>
      <c r="H2" s="187"/>
      <c r="I2" s="187"/>
      <c r="J2" s="187"/>
      <c r="L2" s="187" t="str">
        <f>'Data Sheet'!$B$1&amp;" - "&amp;'Historical FS'!B38&amp;" Forecasting"</f>
        <v>ITC LTD - Earnings per Share Forecasting</v>
      </c>
      <c r="M2" s="187"/>
      <c r="N2" s="187"/>
      <c r="O2" s="187"/>
    </row>
    <row r="3" spans="2:15" x14ac:dyDescent="0.25">
      <c r="B3" s="93" t="s">
        <v>318</v>
      </c>
      <c r="C3" s="93" t="s">
        <v>84</v>
      </c>
      <c r="D3" s="93" t="s">
        <v>319</v>
      </c>
      <c r="E3" s="93" t="s">
        <v>152</v>
      </c>
      <c r="G3" s="93" t="s">
        <v>318</v>
      </c>
      <c r="H3" s="93" t="s">
        <v>84</v>
      </c>
      <c r="I3" s="93" t="s">
        <v>122</v>
      </c>
      <c r="J3" s="93" t="s">
        <v>287</v>
      </c>
      <c r="L3" s="93" t="s">
        <v>318</v>
      </c>
      <c r="M3" s="93" t="s">
        <v>84</v>
      </c>
      <c r="N3" s="93" t="s">
        <v>320</v>
      </c>
      <c r="O3" s="93" t="s">
        <v>321</v>
      </c>
    </row>
    <row r="4" spans="2:15" x14ac:dyDescent="0.25">
      <c r="B4">
        <v>1</v>
      </c>
      <c r="C4" s="168">
        <f>'Data Sheet'!$B$16</f>
        <v>42094</v>
      </c>
      <c r="D4">
        <f t="array" ref="D4:D13">TRANSPOSE('Data Sheet'!B17:K17)</f>
        <v>38817.15</v>
      </c>
      <c r="G4">
        <v>1</v>
      </c>
      <c r="H4" s="168">
        <f>'Data Sheet'!$B$16</f>
        <v>42094</v>
      </c>
      <c r="I4">
        <f t="array" ref="I4:I13">TRANSPOSE('Historical FS'!C18:L18)</f>
        <v>14251.620000000004</v>
      </c>
      <c r="L4">
        <v>1</v>
      </c>
      <c r="M4" s="168">
        <f>'Data Sheet'!$B$16</f>
        <v>42094</v>
      </c>
      <c r="N4">
        <f t="array" ref="N4:N13">TRANSPOSE('Historical FS'!C38:L38)</f>
        <v>7.0997812580572761</v>
      </c>
    </row>
    <row r="5" spans="2:15" x14ac:dyDescent="0.25">
      <c r="B5">
        <v>2</v>
      </c>
      <c r="C5" s="168">
        <f>C4+365</f>
        <v>42459</v>
      </c>
      <c r="D5">
        <v>39192.1</v>
      </c>
      <c r="E5" s="11">
        <f>D5/D4-1</f>
        <v>9.6593902437451806E-3</v>
      </c>
      <c r="G5">
        <v>2</v>
      </c>
      <c r="H5" s="168">
        <f>H4+365</f>
        <v>42459</v>
      </c>
      <c r="I5">
        <v>14531.49</v>
      </c>
      <c r="J5" s="11">
        <f>I5/I4-1</f>
        <v>1.96377674959054E-2</v>
      </c>
      <c r="L5">
        <v>2</v>
      </c>
      <c r="M5" s="168">
        <f>M4+365</f>
        <v>42459</v>
      </c>
      <c r="N5">
        <v>6.6422689465486959</v>
      </c>
      <c r="O5" s="11">
        <f>N5/N4-1</f>
        <v>-6.4440339058244422E-2</v>
      </c>
    </row>
    <row r="6" spans="2:15" x14ac:dyDescent="0.25">
      <c r="B6">
        <v>3</v>
      </c>
      <c r="C6" s="168">
        <f t="shared" ref="C6:C18" si="0">C5+365</f>
        <v>42824</v>
      </c>
      <c r="D6">
        <v>42767.6</v>
      </c>
      <c r="E6" s="11">
        <f t="shared" ref="E6:E18" si="1">D6/D5-1</f>
        <v>9.1230120355888067E-2</v>
      </c>
      <c r="G6">
        <v>3</v>
      </c>
      <c r="H6" s="168">
        <f t="shared" ref="H6:H18" si="2">H5+365</f>
        <v>42824</v>
      </c>
      <c r="I6">
        <v>15469.51</v>
      </c>
      <c r="J6" s="11">
        <f t="shared" ref="J6:J18" si="3">I6/I5-1</f>
        <v>6.4550847848362514E-2</v>
      </c>
      <c r="L6">
        <v>3</v>
      </c>
      <c r="M6" s="168">
        <f t="shared" ref="M6:M18" si="4">M5+365</f>
        <v>42824</v>
      </c>
      <c r="N6">
        <v>7.1773383604722003</v>
      </c>
      <c r="O6" s="11">
        <f t="shared" ref="O6:O18" si="5">N6/N5-1</f>
        <v>8.0555216632943516E-2</v>
      </c>
    </row>
    <row r="7" spans="2:15" x14ac:dyDescent="0.25">
      <c r="B7">
        <v>4</v>
      </c>
      <c r="C7" s="168">
        <f t="shared" si="0"/>
        <v>43189</v>
      </c>
      <c r="D7">
        <v>43448.94</v>
      </c>
      <c r="E7" s="11">
        <f t="shared" si="1"/>
        <v>1.5931218960147486E-2</v>
      </c>
      <c r="G7">
        <v>4</v>
      </c>
      <c r="H7" s="168">
        <f t="shared" si="2"/>
        <v>43189</v>
      </c>
      <c r="I7">
        <v>16520.590000000004</v>
      </c>
      <c r="J7" s="11">
        <f t="shared" si="3"/>
        <v>6.7945267820377131E-2</v>
      </c>
      <c r="L7">
        <v>4</v>
      </c>
      <c r="M7" s="168">
        <f t="shared" si="4"/>
        <v>43189</v>
      </c>
      <c r="N7">
        <v>7.5816474521275303</v>
      </c>
      <c r="O7" s="11">
        <f t="shared" si="5"/>
        <v>5.633134058190481E-2</v>
      </c>
    </row>
    <row r="8" spans="2:15" x14ac:dyDescent="0.25">
      <c r="B8">
        <v>5</v>
      </c>
      <c r="C8" s="168">
        <f t="shared" si="0"/>
        <v>43554</v>
      </c>
      <c r="D8">
        <v>48339.58</v>
      </c>
      <c r="E8" s="11">
        <f t="shared" si="1"/>
        <v>0.11256062863673999</v>
      </c>
      <c r="G8">
        <v>5</v>
      </c>
      <c r="H8" s="168">
        <f t="shared" si="2"/>
        <v>43554</v>
      </c>
      <c r="I8">
        <v>18537.39</v>
      </c>
      <c r="J8" s="11">
        <f t="shared" si="3"/>
        <v>0.12207796452790087</v>
      </c>
      <c r="L8">
        <v>5</v>
      </c>
      <c r="M8" s="168">
        <f t="shared" si="4"/>
        <v>43554</v>
      </c>
      <c r="N8">
        <v>8.7738077757655866</v>
      </c>
      <c r="O8" s="11">
        <f t="shared" si="5"/>
        <v>0.15724291206702268</v>
      </c>
    </row>
    <row r="9" spans="2:15" x14ac:dyDescent="0.25">
      <c r="B9">
        <v>6</v>
      </c>
      <c r="C9" s="168">
        <f t="shared" si="0"/>
        <v>43919</v>
      </c>
      <c r="D9">
        <v>49387.7</v>
      </c>
      <c r="E9" s="11">
        <f t="shared" si="1"/>
        <v>2.1682439110972673E-2</v>
      </c>
      <c r="G9">
        <v>6</v>
      </c>
      <c r="H9" s="168">
        <f t="shared" si="2"/>
        <v>43919</v>
      </c>
      <c r="I9">
        <v>19343.54</v>
      </c>
      <c r="J9" s="11">
        <f t="shared" si="3"/>
        <v>4.34877833395102E-2</v>
      </c>
      <c r="L9">
        <v>6</v>
      </c>
      <c r="M9" s="168">
        <f t="shared" si="4"/>
        <v>43919</v>
      </c>
      <c r="N9">
        <v>10.718553228876848</v>
      </c>
      <c r="O9" s="11">
        <f t="shared" si="5"/>
        <v>0.22165352864042731</v>
      </c>
    </row>
    <row r="10" spans="2:15" x14ac:dyDescent="0.25">
      <c r="B10">
        <v>7</v>
      </c>
      <c r="C10" s="168">
        <f t="shared" si="0"/>
        <v>44284</v>
      </c>
      <c r="D10">
        <v>49257.45</v>
      </c>
      <c r="E10" s="11">
        <f t="shared" si="1"/>
        <v>-2.6372963308678443E-3</v>
      </c>
      <c r="G10">
        <v>7</v>
      </c>
      <c r="H10" s="168">
        <f t="shared" si="2"/>
        <v>44284</v>
      </c>
      <c r="I10">
        <v>17064.78</v>
      </c>
      <c r="J10" s="11">
        <f t="shared" si="3"/>
        <v>-0.11780470379258412</v>
      </c>
      <c r="L10">
        <v>7</v>
      </c>
      <c r="M10" s="168">
        <f t="shared" si="4"/>
        <v>44284</v>
      </c>
      <c r="N10">
        <v>8.7790280124788769</v>
      </c>
      <c r="O10" s="11">
        <f t="shared" si="5"/>
        <v>-0.18095028078721465</v>
      </c>
    </row>
    <row r="11" spans="2:15" x14ac:dyDescent="0.25">
      <c r="B11">
        <v>8</v>
      </c>
      <c r="C11" s="168">
        <f t="shared" si="0"/>
        <v>44649</v>
      </c>
      <c r="D11">
        <v>60644.54</v>
      </c>
      <c r="E11" s="11">
        <f t="shared" si="1"/>
        <v>0.23117497962237188</v>
      </c>
      <c r="G11">
        <v>8</v>
      </c>
      <c r="H11" s="168">
        <f t="shared" si="2"/>
        <v>44649</v>
      </c>
      <c r="I11">
        <v>20623.149999999994</v>
      </c>
      <c r="J11" s="11">
        <f t="shared" si="3"/>
        <v>0.20852129356487437</v>
      </c>
      <c r="L11">
        <v>8</v>
      </c>
      <c r="M11" s="168">
        <f t="shared" si="4"/>
        <v>44649</v>
      </c>
      <c r="N11">
        <v>11.030657372619341</v>
      </c>
      <c r="O11" s="11">
        <f t="shared" si="5"/>
        <v>0.25647820657821163</v>
      </c>
    </row>
    <row r="12" spans="2:15" x14ac:dyDescent="0.25">
      <c r="B12">
        <v>9</v>
      </c>
      <c r="C12" s="168">
        <f t="shared" si="0"/>
        <v>45014</v>
      </c>
      <c r="D12">
        <v>70919.03</v>
      </c>
      <c r="E12" s="11">
        <f t="shared" si="1"/>
        <v>0.1694215175842706</v>
      </c>
      <c r="G12">
        <v>9</v>
      </c>
      <c r="H12" s="168">
        <f t="shared" si="2"/>
        <v>45014</v>
      </c>
      <c r="I12">
        <v>25704.259999999995</v>
      </c>
      <c r="J12" s="11">
        <f t="shared" si="3"/>
        <v>0.24637894792987503</v>
      </c>
      <c r="L12">
        <v>9</v>
      </c>
      <c r="M12" s="168">
        <f t="shared" si="4"/>
        <v>45014</v>
      </c>
      <c r="N12">
        <v>13.983810749919533</v>
      </c>
      <c r="O12" s="11">
        <f t="shared" si="5"/>
        <v>0.26772233762156428</v>
      </c>
    </row>
    <row r="13" spans="2:15" x14ac:dyDescent="0.25">
      <c r="B13">
        <v>10</v>
      </c>
      <c r="C13" s="168">
        <f t="shared" si="0"/>
        <v>45379</v>
      </c>
      <c r="D13">
        <v>70866.22</v>
      </c>
      <c r="E13" s="11">
        <f t="shared" si="1"/>
        <v>-7.4465203486284715E-4</v>
      </c>
      <c r="G13">
        <v>10</v>
      </c>
      <c r="H13" s="168">
        <f t="shared" si="2"/>
        <v>45379</v>
      </c>
      <c r="I13">
        <v>26232.560000000005</v>
      </c>
      <c r="J13" s="11">
        <f t="shared" si="3"/>
        <v>2.0553013391555019E-2</v>
      </c>
      <c r="L13">
        <v>10</v>
      </c>
      <c r="M13" s="168">
        <f t="shared" si="4"/>
        <v>45379</v>
      </c>
      <c r="N13">
        <v>14.375667817408511</v>
      </c>
      <c r="O13" s="11">
        <f t="shared" si="5"/>
        <v>2.8022194700484837E-2</v>
      </c>
    </row>
    <row r="14" spans="2:15" x14ac:dyDescent="0.25">
      <c r="B14" s="53">
        <v>11</v>
      </c>
      <c r="C14" s="169">
        <f t="shared" si="0"/>
        <v>45744</v>
      </c>
      <c r="D14" s="53">
        <f>FORECAST(B14,$D$4:$D$13,$B$4:$B$13)</f>
        <v>71976.98066666667</v>
      </c>
      <c r="E14" s="170">
        <f t="shared" si="1"/>
        <v>1.5674049874067952E-2</v>
      </c>
      <c r="G14" s="53">
        <v>11</v>
      </c>
      <c r="H14" s="169">
        <f t="shared" si="2"/>
        <v>45744</v>
      </c>
      <c r="I14" s="53">
        <f>FORECAST(G14,$I$4:$I$13,$G$4:$G$13)</f>
        <v>25969.381333333338</v>
      </c>
      <c r="J14" s="170">
        <f t="shared" si="3"/>
        <v>-1.0032519383036398E-2</v>
      </c>
      <c r="L14" s="53">
        <v>11</v>
      </c>
      <c r="M14" s="169">
        <f t="shared" si="4"/>
        <v>45744</v>
      </c>
      <c r="N14" s="53">
        <f>FORECAST(L14,$N$4:$N$13,$L$4:$L$13)</f>
        <v>14.338831225849374</v>
      </c>
      <c r="O14" s="170">
        <f t="shared" si="5"/>
        <v>-2.5624264574706235E-3</v>
      </c>
    </row>
    <row r="15" spans="2:15" x14ac:dyDescent="0.25">
      <c r="B15" s="53">
        <v>12</v>
      </c>
      <c r="C15" s="169">
        <f t="shared" si="0"/>
        <v>46109</v>
      </c>
      <c r="D15" s="53">
        <f>FORECAST(B15,$D$4:$D$13,$B$4:$B$13)</f>
        <v>75724.789696969703</v>
      </c>
      <c r="E15" s="170">
        <f t="shared" si="1"/>
        <v>5.2069550508926588E-2</v>
      </c>
      <c r="G15" s="53">
        <v>12</v>
      </c>
      <c r="H15" s="169">
        <f t="shared" si="2"/>
        <v>46109</v>
      </c>
      <c r="I15" s="53">
        <f t="shared" ref="I15:I18" si="6">FORECAST(G15,$I$4:$I$13,$G$4:$G$13)</f>
        <v>27267.834484848489</v>
      </c>
      <c r="J15" s="170">
        <f t="shared" si="3"/>
        <v>4.9999387157078745E-2</v>
      </c>
      <c r="L15" s="53">
        <v>12</v>
      </c>
      <c r="M15" s="169">
        <f t="shared" si="4"/>
        <v>46109</v>
      </c>
      <c r="N15" s="53">
        <f t="shared" ref="N15:N18" si="7">FORECAST(L15,$N$4:$N$13,$L$4:$L$13)</f>
        <v>15.197481249198816</v>
      </c>
      <c r="O15" s="170">
        <f t="shared" si="5"/>
        <v>5.9882846085914432E-2</v>
      </c>
    </row>
    <row r="16" spans="2:15" x14ac:dyDescent="0.25">
      <c r="B16" s="53">
        <v>13</v>
      </c>
      <c r="C16" s="169">
        <f t="shared" si="0"/>
        <v>46474</v>
      </c>
      <c r="D16" s="53">
        <f>FORECAST(B16,$D$4:$D$13,$B$4:$B$13)</f>
        <v>79472.598727272722</v>
      </c>
      <c r="E16" s="170">
        <f t="shared" si="1"/>
        <v>4.9492498365472537E-2</v>
      </c>
      <c r="G16" s="53">
        <v>13</v>
      </c>
      <c r="H16" s="169">
        <f t="shared" si="2"/>
        <v>46474</v>
      </c>
      <c r="I16" s="53">
        <f t="shared" si="6"/>
        <v>28566.287636363639</v>
      </c>
      <c r="J16" s="170">
        <f t="shared" si="3"/>
        <v>4.7618491752128067E-2</v>
      </c>
      <c r="L16" s="53">
        <v>13</v>
      </c>
      <c r="M16" s="169">
        <f t="shared" si="4"/>
        <v>46474</v>
      </c>
      <c r="N16" s="53">
        <f t="shared" si="7"/>
        <v>16.056131272548257</v>
      </c>
      <c r="O16" s="170">
        <f t="shared" si="5"/>
        <v>5.6499495493353979E-2</v>
      </c>
    </row>
    <row r="17" spans="2:15" x14ac:dyDescent="0.25">
      <c r="B17" s="53">
        <v>14</v>
      </c>
      <c r="C17" s="169">
        <f t="shared" si="0"/>
        <v>46839</v>
      </c>
      <c r="D17" s="53">
        <f>FORECAST(B17,$D$4:$D$13,$B$4:$B$13)</f>
        <v>83220.407757575755</v>
      </c>
      <c r="E17" s="170">
        <f t="shared" si="1"/>
        <v>4.7158506080371643E-2</v>
      </c>
      <c r="G17" s="53">
        <v>14</v>
      </c>
      <c r="H17" s="169">
        <f t="shared" si="2"/>
        <v>46839</v>
      </c>
      <c r="I17" s="53">
        <f t="shared" si="6"/>
        <v>29864.740787878789</v>
      </c>
      <c r="J17" s="170">
        <f t="shared" si="3"/>
        <v>4.5454038972227995E-2</v>
      </c>
      <c r="L17" s="53">
        <v>14</v>
      </c>
      <c r="M17" s="169">
        <f t="shared" si="4"/>
        <v>46839</v>
      </c>
      <c r="N17" s="53">
        <f t="shared" si="7"/>
        <v>16.914781295897701</v>
      </c>
      <c r="O17" s="170">
        <f t="shared" si="5"/>
        <v>5.3478014645875982E-2</v>
      </c>
    </row>
    <row r="18" spans="2:15" x14ac:dyDescent="0.25">
      <c r="B18" s="53">
        <v>15</v>
      </c>
      <c r="C18" s="169">
        <f t="shared" si="0"/>
        <v>47204</v>
      </c>
      <c r="D18" s="53">
        <f>FORECAST(B18,$D$4:$D$13,$B$4:$B$13)</f>
        <v>86968.216787878773</v>
      </c>
      <c r="E18" s="170">
        <f t="shared" si="1"/>
        <v>4.5034735244515067E-2</v>
      </c>
      <c r="G18" s="53">
        <v>15</v>
      </c>
      <c r="H18" s="169">
        <f t="shared" si="2"/>
        <v>47204</v>
      </c>
      <c r="I18" s="53">
        <f t="shared" si="6"/>
        <v>31163.193939393943</v>
      </c>
      <c r="J18" s="170">
        <f t="shared" si="3"/>
        <v>4.3477797471530577E-2</v>
      </c>
      <c r="L18" s="53">
        <v>15</v>
      </c>
      <c r="M18" s="169">
        <f t="shared" si="4"/>
        <v>47204</v>
      </c>
      <c r="N18" s="53">
        <f t="shared" si="7"/>
        <v>17.773431319247145</v>
      </c>
      <c r="O18" s="170">
        <f t="shared" si="5"/>
        <v>5.0763294442222051E-2</v>
      </c>
    </row>
  </sheetData>
  <mergeCells count="3">
    <mergeCell ref="B2:E2"/>
    <mergeCell ref="G2:J2"/>
    <mergeCell ref="L2:O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40"/>
  <sheetViews>
    <sheetView showGridLines="0" workbookViewId="0">
      <pane ySplit="3" topLeftCell="A23" activePane="bottomLeft" state="frozen"/>
      <selection activeCell="E76" sqref="E76"/>
      <selection pane="bottomLeft" activeCell="L46" sqref="L46"/>
    </sheetView>
  </sheetViews>
  <sheetFormatPr defaultRowHeight="15" x14ac:dyDescent="0.25"/>
  <cols>
    <col min="1" max="1" width="1.85546875" customWidth="1"/>
    <col min="2" max="2" width="29.28515625" bestFit="1" customWidth="1"/>
    <col min="3" max="3" width="10" bestFit="1" customWidth="1"/>
    <col min="4" max="7" width="10.140625" bestFit="1" customWidth="1"/>
    <col min="8" max="12" width="10" bestFit="1" customWidth="1"/>
    <col min="13" max="13" width="15.7109375" customWidth="1"/>
    <col min="14" max="15" width="10.140625" bestFit="1" customWidth="1"/>
  </cols>
  <sheetData>
    <row r="2" spans="2:15" x14ac:dyDescent="0.25">
      <c r="B2" s="185" t="str">
        <f>"Ratio Analysis of - "&amp;'Data Sheet'!$B$1</f>
        <v>Ratio Analysis of - ITC LTD</v>
      </c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</row>
    <row r="3" spans="2:15" x14ac:dyDescent="0.25">
      <c r="B3" s="93" t="s">
        <v>149</v>
      </c>
      <c r="C3" s="94">
        <f>'Data Sheet'!B16</f>
        <v>42094</v>
      </c>
      <c r="D3" s="94">
        <f>'Data Sheet'!C16</f>
        <v>42460</v>
      </c>
      <c r="E3" s="94">
        <f>'Data Sheet'!D16</f>
        <v>42825</v>
      </c>
      <c r="F3" s="94">
        <f>'Data Sheet'!E16</f>
        <v>43190</v>
      </c>
      <c r="G3" s="94">
        <f>'Data Sheet'!F16</f>
        <v>43555</v>
      </c>
      <c r="H3" s="94">
        <f>'Data Sheet'!G16</f>
        <v>43921</v>
      </c>
      <c r="I3" s="94">
        <f>'Data Sheet'!H16</f>
        <v>44286</v>
      </c>
      <c r="J3" s="94">
        <f>'Data Sheet'!I16</f>
        <v>44651</v>
      </c>
      <c r="K3" s="94">
        <f>'Data Sheet'!J16</f>
        <v>45016</v>
      </c>
      <c r="L3" s="94">
        <f>'Data Sheet'!K16</f>
        <v>45382</v>
      </c>
      <c r="M3" s="93" t="s">
        <v>316</v>
      </c>
      <c r="N3" s="94" t="s">
        <v>317</v>
      </c>
      <c r="O3" s="94" t="s">
        <v>18</v>
      </c>
    </row>
    <row r="5" spans="2:15" x14ac:dyDescent="0.25">
      <c r="B5" s="155" t="s">
        <v>152</v>
      </c>
      <c r="C5" s="155"/>
      <c r="D5" s="157">
        <f>IFERROR('Historical FS'!D6/'Historical FS'!C6-1,0)</f>
        <v>9.6593902437451806E-3</v>
      </c>
      <c r="E5" s="157">
        <f>IFERROR('Historical FS'!E6/'Historical FS'!D6-1,0)</f>
        <v>9.1230120355888067E-2</v>
      </c>
      <c r="F5" s="157">
        <f>IFERROR('Historical FS'!F6/'Historical FS'!E6-1,0)</f>
        <v>1.5931218960147486E-2</v>
      </c>
      <c r="G5" s="157">
        <f>IFERROR('Historical FS'!G6/'Historical FS'!F6-1,0)</f>
        <v>0.11256062863673999</v>
      </c>
      <c r="H5" s="157">
        <f>IFERROR('Historical FS'!H6/'Historical FS'!G6-1,0)</f>
        <v>2.1682439110972673E-2</v>
      </c>
      <c r="I5" s="157">
        <f>IFERROR('Historical FS'!I6/'Historical FS'!H6-1,0)</f>
        <v>-2.6372963308678443E-3</v>
      </c>
      <c r="J5" s="157">
        <f>IFERROR('Historical FS'!J6/'Historical FS'!I6-1,0)</f>
        <v>0.23117497962237188</v>
      </c>
      <c r="K5" s="157">
        <f>IFERROR('Historical FS'!K6/'Historical FS'!J6-1,0)</f>
        <v>0.1694215175842706</v>
      </c>
      <c r="L5" s="157">
        <f>IFERROR('Historical FS'!L6/'Historical FS'!K6-1,0)</f>
        <v>-7.4465203486284715E-4</v>
      </c>
      <c r="M5" s="155"/>
      <c r="N5" s="157">
        <f>IFERROR(AVERAGE(D5:L5),0)</f>
        <v>7.2030927349822804E-2</v>
      </c>
      <c r="O5" s="157">
        <f>IFERROR(MEDIAN(D5:L5),0)</f>
        <v>2.1682439110972673E-2</v>
      </c>
    </row>
    <row r="6" spans="2:15" x14ac:dyDescent="0.25">
      <c r="B6" s="30" t="s">
        <v>287</v>
      </c>
      <c r="C6" s="30"/>
      <c r="D6" s="56">
        <f>IFERROR('Historical FS'!D18/'Historical FS'!C18-1,0)</f>
        <v>1.96377674959054E-2</v>
      </c>
      <c r="E6" s="56">
        <f>IFERROR('Historical FS'!E18/'Historical FS'!D18-1,0)</f>
        <v>6.4550847848362514E-2</v>
      </c>
      <c r="F6" s="56">
        <f>IFERROR('Historical FS'!F18/'Historical FS'!E18-1,0)</f>
        <v>6.7945267820377131E-2</v>
      </c>
      <c r="G6" s="56">
        <f>IFERROR('Historical FS'!G18/'Historical FS'!F18-1,0)</f>
        <v>0.12207796452790087</v>
      </c>
      <c r="H6" s="56">
        <f>IFERROR('Historical FS'!H18/'Historical FS'!G18-1,0)</f>
        <v>4.34877833395102E-2</v>
      </c>
      <c r="I6" s="56">
        <f>IFERROR('Historical FS'!I18/'Historical FS'!H18-1,0)</f>
        <v>-0.11780470379258412</v>
      </c>
      <c r="J6" s="56">
        <f>IFERROR('Historical FS'!J18/'Historical FS'!I18-1,0)</f>
        <v>0.20852129356487437</v>
      </c>
      <c r="K6" s="56">
        <f>IFERROR('Historical FS'!K18/'Historical FS'!J18-1,0)</f>
        <v>0.24637894792987503</v>
      </c>
      <c r="L6" s="56">
        <f>IFERROR('Historical FS'!L18/'Historical FS'!K18-1,0)</f>
        <v>2.0553013391555019E-2</v>
      </c>
      <c r="M6" s="30"/>
      <c r="N6" s="56">
        <f t="shared" ref="N6:N9" si="0">IFERROR(AVERAGE(D6:L6),0)</f>
        <v>7.5038686902864041E-2</v>
      </c>
      <c r="O6" s="56">
        <f t="shared" ref="O6:O9" si="1">IFERROR(MEDIAN(D6:L6),0)</f>
        <v>6.4550847848362514E-2</v>
      </c>
    </row>
    <row r="7" spans="2:15" x14ac:dyDescent="0.25">
      <c r="B7" s="30" t="s">
        <v>288</v>
      </c>
      <c r="C7" s="30"/>
      <c r="D7" s="56">
        <f>IFERROR(('Historical FS'!D18-'Historical FS'!D24)/('Historical FS'!C18-'Historical FS'!C24)-1,0)</f>
        <v>1.7425584142362727E-2</v>
      </c>
      <c r="E7" s="56">
        <f>IFERROR(('Historical FS'!E18-'Historical FS'!E24)/('Historical FS'!D18-'Historical FS'!D24)-1,0)</f>
        <v>6.4116562324170623E-2</v>
      </c>
      <c r="F7" s="56">
        <f>IFERROR(('Historical FS'!F18-'Historical FS'!F24)/('Historical FS'!E18-'Historical FS'!E24)-1,0)</f>
        <v>6.7584614353008332E-2</v>
      </c>
      <c r="G7" s="56">
        <f>IFERROR(('Historical FS'!G18-'Historical FS'!G24)/('Historical FS'!F18-'Historical FS'!F24)-1,0)</f>
        <v>0.12146246706589925</v>
      </c>
      <c r="H7" s="56">
        <f>IFERROR(('Historical FS'!H18-'Historical FS'!H24)/('Historical FS'!G18-'Historical FS'!G24)-1,0)</f>
        <v>3.2545193392599536E-2</v>
      </c>
      <c r="I7" s="56">
        <f>IFERROR(('Historical FS'!I18-'Historical FS'!I24)/('Historical FS'!H18-'Historical FS'!H24)-1,0)</f>
        <v>-0.12879188954173304</v>
      </c>
      <c r="J7" s="56">
        <f>IFERROR(('Historical FS'!J18-'Historical FS'!J24)/('Historical FS'!I18-'Historical FS'!I24)-1,0)</f>
        <v>0.22514477089911966</v>
      </c>
      <c r="K7" s="56">
        <f>IFERROR(('Historical FS'!K18-'Historical FS'!K24)/('Historical FS'!J18-'Historical FS'!J24)-1,0)</f>
        <v>0.264918685027691</v>
      </c>
      <c r="L7" s="56">
        <f>IFERROR(('Historical FS'!L18-'Historical FS'!L24)/('Historical FS'!K18-'Historical FS'!K24)-1,0)</f>
        <v>2.1800148565091826E-2</v>
      </c>
      <c r="M7" s="30"/>
      <c r="N7" s="56">
        <f t="shared" si="0"/>
        <v>7.6245126247578884E-2</v>
      </c>
      <c r="O7" s="56">
        <f t="shared" si="1"/>
        <v>6.4116562324170623E-2</v>
      </c>
    </row>
    <row r="8" spans="2:15" x14ac:dyDescent="0.25">
      <c r="B8" s="30" t="s">
        <v>289</v>
      </c>
      <c r="C8" s="30"/>
      <c r="D8" s="56">
        <f>IFERROR('Historical FS'!D33/'Historical FS'!C33-1,0)</f>
        <v>-6.0744258623194769E-2</v>
      </c>
      <c r="E8" s="56">
        <f>IFERROR('Historical FS'!E33/'Historical FS'!D33-1,0)</f>
        <v>8.7412303950609838E-2</v>
      </c>
      <c r="F8" s="56">
        <f>IFERROR('Historical FS'!F33/'Historical FS'!E33-1,0)</f>
        <v>6.127933383800177E-2</v>
      </c>
      <c r="G8" s="56">
        <f>IFERROR('Historical FS'!G33/'Historical FS'!F33-1,0)</f>
        <v>0.16239177682167782</v>
      </c>
      <c r="H8" s="56">
        <f>IFERROR('Historical FS'!H33/'Historical FS'!G33-1,0)</f>
        <v>0.22500199898470163</v>
      </c>
      <c r="I8" s="56">
        <f>IFERROR('Historical FS'!I33/'Historical FS'!H33-1,0)</f>
        <v>-0.17984419519318484</v>
      </c>
      <c r="J8" s="56">
        <f>IFERROR('Historical FS'!J33/'Historical FS'!I33-1,0)</f>
        <v>0.25795836175137099</v>
      </c>
      <c r="K8" s="56">
        <f>IFERROR('Historical FS'!K33/'Historical FS'!J33-1,0)</f>
        <v>0.27849303449244922</v>
      </c>
      <c r="L8" s="56">
        <f>IFERROR('Historical FS'!L33/'Historical FS'!K33-1,0)</f>
        <v>3.2712318488666181E-2</v>
      </c>
      <c r="M8" s="30"/>
      <c r="N8" s="56">
        <f t="shared" si="0"/>
        <v>9.6073408279010869E-2</v>
      </c>
      <c r="O8" s="56">
        <f t="shared" si="1"/>
        <v>8.7412303950609838E-2</v>
      </c>
    </row>
    <row r="9" spans="2:15" x14ac:dyDescent="0.25">
      <c r="B9" s="156" t="s">
        <v>290</v>
      </c>
      <c r="C9" s="156"/>
      <c r="D9" s="158">
        <f>IFERROR('Historical FS'!D41/'Historical FS'!C41-1,0)</f>
        <v>0.35676799370771772</v>
      </c>
      <c r="E9" s="158">
        <f>IFERROR('Historical FS'!E41/'Historical FS'!D41-1,0)</f>
        <v>-0.16037752455178245</v>
      </c>
      <c r="F9" s="158">
        <f>IFERROR('Historical FS'!F41/'Historical FS'!E41-1,0)</f>
        <v>8.4462339800850827E-2</v>
      </c>
      <c r="G9" s="158">
        <f>IFERROR('Historical FS'!G41/'Historical FS'!F41-1,0)</f>
        <v>0.11840858084415284</v>
      </c>
      <c r="H9" s="158">
        <f>IFERROR('Historical FS'!H41/'Historical FS'!G41-1,0)</f>
        <v>0.76766690696008633</v>
      </c>
      <c r="I9" s="158">
        <f>IFERROR('Historical FS'!I41/'Historical FS'!H41-1,0)</f>
        <v>5.9295964179691518E-2</v>
      </c>
      <c r="J9" s="158">
        <f>IFERROR('Historical FS'!J41/'Historical FS'!I41-1,0)</f>
        <v>6.2005123416483343E-2</v>
      </c>
      <c r="K9" s="158">
        <f>IFERROR('Historical FS'!K41/'Historical FS'!J41-1,0)</f>
        <v>0.35310363785130483</v>
      </c>
      <c r="L9" s="158">
        <f>IFERROR('Historical FS'!L41/'Historical FS'!K41-1,0)</f>
        <v>-0.1088561728459152</v>
      </c>
      <c r="M9" s="156"/>
      <c r="N9" s="158">
        <f t="shared" si="0"/>
        <v>0.17027520548473218</v>
      </c>
      <c r="O9" s="158">
        <f t="shared" si="1"/>
        <v>8.4462339800850827E-2</v>
      </c>
    </row>
    <row r="10" spans="2:15" x14ac:dyDescent="0.25">
      <c r="N10" s="11"/>
      <c r="O10" s="11"/>
    </row>
    <row r="11" spans="2:15" x14ac:dyDescent="0.25">
      <c r="B11" s="155" t="s">
        <v>291</v>
      </c>
      <c r="C11" s="157">
        <f>IFERROR('Historical FS'!C13,0)</f>
        <v>0.4927917170632054</v>
      </c>
      <c r="D11" s="157">
        <f>IFERROR('Historical FS'!D13,0)</f>
        <v>0.51105095159483671</v>
      </c>
      <c r="E11" s="157">
        <f>IFERROR('Historical FS'!E13,0)</f>
        <v>0.48678158231932583</v>
      </c>
      <c r="F11" s="157">
        <f>IFERROR('Historical FS'!F13,0)</f>
        <v>0.49440653788101624</v>
      </c>
      <c r="G11" s="157">
        <f>IFERROR('Historical FS'!G13,0)</f>
        <v>0.49904508893126504</v>
      </c>
      <c r="H11" s="157">
        <f>IFERROR('Historical FS'!H13,0)</f>
        <v>0.50735911978083614</v>
      </c>
      <c r="I11" s="157">
        <f>IFERROR('Historical FS'!I13,0)</f>
        <v>0.45426509086442762</v>
      </c>
      <c r="J11" s="157">
        <f>IFERROR('Historical FS'!J13,0)</f>
        <v>0.43848102401304379</v>
      </c>
      <c r="K11" s="157">
        <f>IFERROR('Historical FS'!K13,0)</f>
        <v>0.45991745797989614</v>
      </c>
      <c r="L11" s="157">
        <f>IFERROR('Historical FS'!L13,0)</f>
        <v>0.4776710257722227</v>
      </c>
      <c r="M11" s="155"/>
      <c r="N11" s="157">
        <f>IFERROR(AVERAGE(C11:L11),0)</f>
        <v>0.48217695962000756</v>
      </c>
      <c r="O11" s="157">
        <f>IFERROR(MEDIAN(C11:L11),0)</f>
        <v>0.48978664969126562</v>
      </c>
    </row>
    <row r="12" spans="2:15" x14ac:dyDescent="0.25">
      <c r="B12" s="30" t="s">
        <v>292</v>
      </c>
      <c r="C12" s="56">
        <f>IFERROR('Historical FS'!C19,0)</f>
        <v>0.36714751082962049</v>
      </c>
      <c r="D12" s="56">
        <f>IFERROR('Historical FS'!D19,0)</f>
        <v>0.37077599822413193</v>
      </c>
      <c r="E12" s="56">
        <f>IFERROR('Historical FS'!E19,0)</f>
        <v>0.36171096811605047</v>
      </c>
      <c r="F12" s="56">
        <f>IFERROR('Historical FS'!F19,0)</f>
        <v>0.38022998950031928</v>
      </c>
      <c r="G12" s="56">
        <f>IFERROR('Historical FS'!G19,0)</f>
        <v>0.38348264507056118</v>
      </c>
      <c r="H12" s="56">
        <f>IFERROR('Historical FS'!H19,0)</f>
        <v>0.39166715599228152</v>
      </c>
      <c r="I12" s="56">
        <f>IFERROR('Historical FS'!I19,0)</f>
        <v>0.3464405891900616</v>
      </c>
      <c r="J12" s="56">
        <f>IFERROR('Historical FS'!J19,0)</f>
        <v>0.34006606365552439</v>
      </c>
      <c r="K12" s="56">
        <f>IFERROR('Historical FS'!K19,0)</f>
        <v>0.36244517162741785</v>
      </c>
      <c r="L12" s="56">
        <f>IFERROR('Historical FS'!L19,0)</f>
        <v>0.37017016005651215</v>
      </c>
      <c r="M12" s="30"/>
      <c r="N12" s="56">
        <f t="shared" ref="N12:N40" si="2">IFERROR(AVERAGE(C12:L12),0)</f>
        <v>0.3674136252262481</v>
      </c>
      <c r="O12" s="56">
        <f t="shared" ref="O12:O40" si="3">IFERROR(MEDIAN(C12:L12),0)</f>
        <v>0.36865883544306632</v>
      </c>
    </row>
    <row r="13" spans="2:15" x14ac:dyDescent="0.25">
      <c r="B13" s="30" t="s">
        <v>293</v>
      </c>
      <c r="C13" s="56">
        <f>IFERROR(('Historical FS'!C18-'Historical FS'!C24)/'Historical FS'!C6,0)</f>
        <v>0.34066540176185017</v>
      </c>
      <c r="D13" s="56">
        <f>IFERROR(('Historical FS'!D18-'Historical FS'!D24)/'Historical FS'!D6,0)</f>
        <v>0.34328576422289186</v>
      </c>
      <c r="E13" s="56">
        <f>IFERROR(('Historical FS'!E18-'Historical FS'!E24)/'Historical FS'!E6,0)</f>
        <v>0.33475621732339439</v>
      </c>
      <c r="F13" s="56">
        <f>IFERROR(('Historical FS'!F18-'Historical FS'!F24)/'Historical FS'!F6,0)</f>
        <v>0.35177636094229231</v>
      </c>
      <c r="G13" s="56">
        <f>IFERROR(('Historical FS'!G18-'Historical FS'!G24)/'Historical FS'!G6,0)</f>
        <v>0.35459099975630731</v>
      </c>
      <c r="H13" s="56">
        <f>IFERROR(('Historical FS'!H18-'Historical FS'!H24)/'Historical FS'!H6,0)</f>
        <v>0.35836108990700116</v>
      </c>
      <c r="I13" s="56">
        <f>IFERROR(('Historical FS'!I18-'Historical FS'!I24)/'Historical FS'!I6,0)</f>
        <v>0.3130326478532689</v>
      </c>
      <c r="J13" s="56">
        <f>IFERROR(('Historical FS'!J18-'Historical FS'!J24)/'Historical FS'!J6,0)</f>
        <v>0.31149943589315698</v>
      </c>
      <c r="K13" s="56">
        <f>IFERROR(('Historical FS'!K18-'Historical FS'!K24)/'Historical FS'!K6,0)</f>
        <v>0.33693706752616326</v>
      </c>
      <c r="L13" s="56">
        <f>IFERROR(('Historical FS'!L18-'Historical FS'!L24)/'Historical FS'!L6,0)</f>
        <v>0.34453890725369585</v>
      </c>
      <c r="M13" s="30"/>
      <c r="N13" s="56">
        <f t="shared" si="2"/>
        <v>0.33894438924400222</v>
      </c>
      <c r="O13" s="56">
        <f t="shared" si="3"/>
        <v>0.34197558299237102</v>
      </c>
    </row>
    <row r="14" spans="2:15" x14ac:dyDescent="0.25">
      <c r="B14" s="30" t="s">
        <v>294</v>
      </c>
      <c r="C14" s="56">
        <f>IFERROR('Historical FS'!C28,0)</f>
        <v>0.33832210762510911</v>
      </c>
      <c r="D14" s="56">
        <f>IFERROR('Historical FS'!D28,0)</f>
        <v>0.34129225022389714</v>
      </c>
      <c r="E14" s="56">
        <f>IFERROR('Historical FS'!E28,0)</f>
        <v>0.33360978871856267</v>
      </c>
      <c r="F14" s="56">
        <f>IFERROR('Historical FS'!F28,0)</f>
        <v>0.34912934584825317</v>
      </c>
      <c r="G14" s="56">
        <f>IFERROR('Historical FS'!G28,0)</f>
        <v>0.3531139492730388</v>
      </c>
      <c r="H14" s="56">
        <f>IFERROR('Historical FS'!H28,0)</f>
        <v>0.35671331120906624</v>
      </c>
      <c r="I14" s="56">
        <f>IFERROR('Historical FS'!I28,0)</f>
        <v>0.31185577004087706</v>
      </c>
      <c r="J14" s="56">
        <f>IFERROR('Historical FS'!J28,0)</f>
        <v>0.31051022895053687</v>
      </c>
      <c r="K14" s="56">
        <f>IFERROR('Historical FS'!K28,0)</f>
        <v>0.33584046482305235</v>
      </c>
      <c r="L14" s="56">
        <f>IFERROR('Historical FS'!L28,0)</f>
        <v>0.34340917294586903</v>
      </c>
      <c r="M14" s="30"/>
      <c r="N14" s="56">
        <f t="shared" si="2"/>
        <v>0.33737963896582623</v>
      </c>
      <c r="O14" s="56">
        <f t="shared" si="3"/>
        <v>0.33980717892450313</v>
      </c>
    </row>
    <row r="15" spans="2:15" x14ac:dyDescent="0.25">
      <c r="B15" s="156" t="s">
        <v>295</v>
      </c>
      <c r="C15" s="158">
        <f>IFERROR('Historical FS'!C34,0)</f>
        <v>0.21991001400154322</v>
      </c>
      <c r="D15" s="158">
        <f>IFERROR('Historical FS'!D34,0)</f>
        <v>0.20457566703493815</v>
      </c>
      <c r="E15" s="158">
        <f>IFERROR('Historical FS'!E34,0)</f>
        <v>0.20385993134990041</v>
      </c>
      <c r="F15" s="158">
        <f>IFERROR('Historical FS'!F34,0)</f>
        <v>0.21295962571238797</v>
      </c>
      <c r="G15" s="158">
        <f>IFERROR('Historical FS'!G34,0)</f>
        <v>0.22249800267193054</v>
      </c>
      <c r="H15" s="158">
        <f>IFERROR('Historical FS'!H34,0)</f>
        <v>0.26677614061800814</v>
      </c>
      <c r="I15" s="158">
        <f>IFERROR('Historical FS'!I34,0)</f>
        <v>0.21937656131204519</v>
      </c>
      <c r="J15" s="158">
        <f>IFERROR('Historical FS'!J34,0)</f>
        <v>0.2241489505897809</v>
      </c>
      <c r="K15" s="158">
        <f>IFERROR('Historical FS'!K34,0)</f>
        <v>0.24505524116728605</v>
      </c>
      <c r="L15" s="158">
        <f>IFERROR('Historical FS'!L34,0)</f>
        <v>0.25326015695489335</v>
      </c>
      <c r="M15" s="156"/>
      <c r="N15" s="158">
        <f t="shared" si="2"/>
        <v>0.2272420291412714</v>
      </c>
      <c r="O15" s="158">
        <f t="shared" si="3"/>
        <v>0.22120400833673687</v>
      </c>
    </row>
    <row r="16" spans="2:15" x14ac:dyDescent="0.25">
      <c r="N16" s="11"/>
      <c r="O16" s="11"/>
    </row>
    <row r="17" spans="2:15" x14ac:dyDescent="0.25">
      <c r="B17" s="155" t="s">
        <v>296</v>
      </c>
      <c r="C17" s="157">
        <f>IFERROR('Historical FS'!C16,0)</f>
        <v>0.12564420623358488</v>
      </c>
      <c r="D17" s="157">
        <f>IFERROR('Historical FS'!D16,0)</f>
        <v>0.14027495337070481</v>
      </c>
      <c r="E17" s="157">
        <f>IFERROR('Historical FS'!E16,0)</f>
        <v>0.12507061420327537</v>
      </c>
      <c r="F17" s="157">
        <f>IFERROR('Historical FS'!F16,0)</f>
        <v>0.11417654838069698</v>
      </c>
      <c r="G17" s="157">
        <f>IFERROR('Historical FS'!G16,0)</f>
        <v>0.11556244386070379</v>
      </c>
      <c r="H17" s="157">
        <f>IFERROR('Historical FS'!H16,0)</f>
        <v>0.11569196378855465</v>
      </c>
      <c r="I17" s="157">
        <f>IFERROR('Historical FS'!I16,0)</f>
        <v>0.10782450167436604</v>
      </c>
      <c r="J17" s="157">
        <f>IFERROR('Historical FS'!J16,0)</f>
        <v>9.8414960357519399E-2</v>
      </c>
      <c r="K17" s="157">
        <f>IFERROR('Historical FS'!K16,0)</f>
        <v>9.7472286352478302E-2</v>
      </c>
      <c r="L17" s="157">
        <f>IFERROR('Historical FS'!L16,0)</f>
        <v>0.10750086571571053</v>
      </c>
      <c r="M17" s="155"/>
      <c r="N17" s="157">
        <f t="shared" si="2"/>
        <v>0.11476333439375949</v>
      </c>
      <c r="O17" s="157">
        <f t="shared" si="3"/>
        <v>0.11486949612070038</v>
      </c>
    </row>
    <row r="18" spans="2:15" x14ac:dyDescent="0.25">
      <c r="B18" s="30" t="s">
        <v>297</v>
      </c>
      <c r="C18" s="56">
        <f>IFERROR('Historical FS'!C25,0)</f>
        <v>2.6482109067770303E-2</v>
      </c>
      <c r="D18" s="56">
        <f>IFERROR('Historical FS'!D25,0)</f>
        <v>2.7490234001240049E-2</v>
      </c>
      <c r="E18" s="56">
        <f>IFERROR('Historical FS'!E25,0)</f>
        <v>2.6954750792656124E-2</v>
      </c>
      <c r="F18" s="56">
        <f>IFERROR('Historical FS'!F25,0)</f>
        <v>2.845362855802696E-2</v>
      </c>
      <c r="G18" s="56">
        <f>IFERROR('Historical FS'!G25,0)</f>
        <v>2.8891645314253867E-2</v>
      </c>
      <c r="H18" s="56">
        <f>IFERROR('Historical FS'!H25,0)</f>
        <v>3.3306066085280348E-2</v>
      </c>
      <c r="I18" s="56">
        <f>IFERROR('Historical FS'!I25,0)</f>
        <v>3.3407941336792708E-2</v>
      </c>
      <c r="J18" s="56">
        <f>IFERROR('Historical FS'!J25,0)</f>
        <v>2.8566627762367396E-2</v>
      </c>
      <c r="K18" s="56">
        <f>IFERROR('Historical FS'!K25,0)</f>
        <v>2.550810410125463E-2</v>
      </c>
      <c r="L18" s="56">
        <f>IFERROR('Historical FS'!L25,0)</f>
        <v>2.5631252802816348E-2</v>
      </c>
      <c r="M18" s="30"/>
      <c r="N18" s="56">
        <f t="shared" si="2"/>
        <v>2.8469235982245877E-2</v>
      </c>
      <c r="O18" s="56">
        <f t="shared" si="3"/>
        <v>2.7971931279633502E-2</v>
      </c>
    </row>
    <row r="19" spans="2:15" x14ac:dyDescent="0.25">
      <c r="B19" s="156" t="s">
        <v>298</v>
      </c>
      <c r="C19" s="158">
        <f>IFERROR('Ratio Analysis'!C13,0)</f>
        <v>0.34066540176185017</v>
      </c>
      <c r="D19" s="158">
        <f>IFERROR('Ratio Analysis'!D13,0)</f>
        <v>0.34328576422289186</v>
      </c>
      <c r="E19" s="158">
        <f>IFERROR('Ratio Analysis'!E13,0)</f>
        <v>0.33475621732339439</v>
      </c>
      <c r="F19" s="158">
        <f>IFERROR('Ratio Analysis'!F13,0)</f>
        <v>0.35177636094229231</v>
      </c>
      <c r="G19" s="158">
        <f>IFERROR('Ratio Analysis'!G13,0)</f>
        <v>0.35459099975630731</v>
      </c>
      <c r="H19" s="158">
        <f>IFERROR('Ratio Analysis'!H13,0)</f>
        <v>0.35836108990700116</v>
      </c>
      <c r="I19" s="158">
        <f>IFERROR('Ratio Analysis'!I13,0)</f>
        <v>0.3130326478532689</v>
      </c>
      <c r="J19" s="158">
        <f>IFERROR('Ratio Analysis'!J13,0)</f>
        <v>0.31149943589315698</v>
      </c>
      <c r="K19" s="158">
        <f>IFERROR('Ratio Analysis'!K13,0)</f>
        <v>0.33693706752616326</v>
      </c>
      <c r="L19" s="158">
        <f>IFERROR('Ratio Analysis'!L13,0)</f>
        <v>0.34453890725369585</v>
      </c>
      <c r="M19" s="156"/>
      <c r="N19" s="158">
        <f t="shared" si="2"/>
        <v>0.33894438924400222</v>
      </c>
      <c r="O19" s="158">
        <f t="shared" si="3"/>
        <v>0.34197558299237102</v>
      </c>
    </row>
    <row r="20" spans="2:15" x14ac:dyDescent="0.25">
      <c r="N20" s="11"/>
      <c r="O20" s="11"/>
    </row>
    <row r="21" spans="2:15" x14ac:dyDescent="0.25">
      <c r="B21" s="155" t="s">
        <v>299</v>
      </c>
      <c r="C21" s="157">
        <f>IFERROR(('Historical FS'!C18-'Historical FS'!C24)/(SUM('Historical FS'!C47:C49)),0)</f>
        <v>0.41318398252234323</v>
      </c>
      <c r="D21" s="157">
        <f>IFERROR(('Historical FS'!D18-'Historical FS'!D24)/(SUM('Historical FS'!D47:D49)),0)</f>
        <v>0.31461767450126626</v>
      </c>
      <c r="E21" s="157">
        <f>IFERROR(('Historical FS'!E18-'Historical FS'!E24)/(SUM('Historical FS'!E47:E49)),0)</f>
        <v>0.30816048249357225</v>
      </c>
      <c r="F21" s="157">
        <f>IFERROR(('Historical FS'!F18-'Historical FS'!F24)/(SUM('Historical FS'!F47:F49)),0)</f>
        <v>0.29087468644158282</v>
      </c>
      <c r="G21" s="157">
        <f>IFERROR(('Historical FS'!G18-'Historical FS'!G24)/(SUM('Historical FS'!G47:G49)),0)</f>
        <v>0.28976383969316855</v>
      </c>
      <c r="H21" s="157">
        <f>IFERROR(('Historical FS'!H18-'Historical FS'!H24)/(SUM('Historical FS'!H47:H49)),0)</f>
        <v>0.26999905874398611</v>
      </c>
      <c r="I21" s="157">
        <f>IFERROR(('Historical FS'!I18-'Historical FS'!I24)/(SUM('Historical FS'!I47:I49)),0)</f>
        <v>0.25436581143904541</v>
      </c>
      <c r="J21" s="157">
        <f>IFERROR(('Historical FS'!J18-'Historical FS'!J24)/(SUM('Historical FS'!J47:J49)),0)</f>
        <v>0.30126364703553982</v>
      </c>
      <c r="K21" s="157">
        <f>IFERROR(('Historical FS'!K18-'Historical FS'!K24)/(SUM('Historical FS'!K47:K49)),0)</f>
        <v>0.34400810235339674</v>
      </c>
      <c r="L21" s="157">
        <f>IFERROR(('Historical FS'!L18-'Historical FS'!L24)/(SUM('Historical FS'!L47:L49)),0)</f>
        <v>0.32637387594216483</v>
      </c>
      <c r="M21" s="155"/>
      <c r="N21" s="157">
        <f t="shared" si="2"/>
        <v>0.31126111611660662</v>
      </c>
      <c r="O21" s="157">
        <f t="shared" si="3"/>
        <v>0.30471206476455603</v>
      </c>
    </row>
    <row r="22" spans="2:15" x14ac:dyDescent="0.25">
      <c r="B22" s="30" t="s">
        <v>300</v>
      </c>
      <c r="C22" s="56">
        <f>IFERROR('Historical FS'!C44,0)</f>
        <v>0.41543900996871908</v>
      </c>
      <c r="D22" s="56">
        <f>IFERROR('Historical FS'!D44,0)</f>
        <v>0.15225754726729868</v>
      </c>
      <c r="E22" s="56">
        <f>IFERROR('Historical FS'!E44,0)</f>
        <v>0.34127973679686396</v>
      </c>
      <c r="F22" s="56">
        <f>IFERROR('Historical FS'!F44,0)</f>
        <v>0.32373745768634987</v>
      </c>
      <c r="G22" s="56">
        <f>IFERROR('Historical FS'!G44,0)</f>
        <v>0.34643122689243633</v>
      </c>
      <c r="H22" s="56">
        <f>IFERROR('Historical FS'!H44,0)</f>
        <v>5.4321160165219151E-2</v>
      </c>
      <c r="I22" s="56">
        <f>IFERROR('Historical FS'!I44,0)</f>
        <v>0</v>
      </c>
      <c r="J22" s="56">
        <f>IFERROR('Historical FS'!J44,0)</f>
        <v>0</v>
      </c>
      <c r="K22" s="56">
        <f>IFERROR('Historical FS'!K44,0)</f>
        <v>0</v>
      </c>
      <c r="L22" s="56">
        <f>IFERROR('Historical FS'!L44,0)</f>
        <v>4.3522835099308876E-2</v>
      </c>
      <c r="M22" s="30"/>
      <c r="N22" s="56">
        <f t="shared" si="2"/>
        <v>0.16769889738761962</v>
      </c>
      <c r="O22" s="56">
        <f t="shared" si="3"/>
        <v>0.10328935371625891</v>
      </c>
    </row>
    <row r="23" spans="2:15" x14ac:dyDescent="0.25">
      <c r="B23" s="30" t="s">
        <v>301</v>
      </c>
      <c r="C23" s="56">
        <f>IFERROR('Historical FS'!C33/SUM('Historical FS'!C47:C48),0)</f>
        <v>0.26898213955417122</v>
      </c>
      <c r="D23" s="56">
        <f>IFERROR('Historical FS'!D33/SUM('Historical FS'!D47:D48),0)</f>
        <v>0.1878594229738291</v>
      </c>
      <c r="E23" s="56">
        <f>IFERROR('Historical FS'!E33/SUM('Historical FS'!E47:E48),0)</f>
        <v>0.18784851548911047</v>
      </c>
      <c r="F23" s="56">
        <f>IFERROR('Historical FS'!F33/SUM('Historical FS'!F47:F48),0)</f>
        <v>0.17621120961277748</v>
      </c>
      <c r="G23" s="56">
        <f>IFERROR('Historical FS'!G33/SUM('Historical FS'!G47:G48),0)</f>
        <v>0.18186171424262107</v>
      </c>
      <c r="H23" s="56">
        <f>IFERROR('Historical FS'!H33/SUM('Historical FS'!H47:H48),0)</f>
        <v>0.2018508038360578</v>
      </c>
      <c r="I23" s="56">
        <f>IFERROR('Historical FS'!I33/SUM('Historical FS'!I47:I48),0)</f>
        <v>0.17906224201431251</v>
      </c>
      <c r="J23" s="56">
        <f>IFERROR('Historical FS'!J33/SUM('Historical FS'!J47:J48),0)</f>
        <v>0.21764928252195909</v>
      </c>
      <c r="K23" s="56">
        <f>IFERROR('Historical FS'!K33/SUM('Historical FS'!K47:K48),0)</f>
        <v>0.25130525140097792</v>
      </c>
      <c r="L23" s="56">
        <f>IFERROR('Historical FS'!L33/SUM('Historical FS'!L47:L48),0)</f>
        <v>0.24088461486840168</v>
      </c>
      <c r="M23" s="30"/>
      <c r="N23" s="56">
        <f t="shared" si="2"/>
        <v>0.20935151965142182</v>
      </c>
      <c r="O23" s="56">
        <f t="shared" si="3"/>
        <v>0.19485511340494344</v>
      </c>
    </row>
    <row r="24" spans="2:15" x14ac:dyDescent="0.25">
      <c r="B24" s="30" t="s">
        <v>302</v>
      </c>
      <c r="C24" s="56">
        <f>IFERROR(C22*C23,0)</f>
        <v>0.11174567375565272</v>
      </c>
      <c r="D24" s="56">
        <f t="shared" ref="D24:L24" si="4">IFERROR(D22*D23,0)</f>
        <v>2.8603014973045238E-2</v>
      </c>
      <c r="E24" s="56">
        <f t="shared" si="4"/>
        <v>6.4108891923805242E-2</v>
      </c>
      <c r="F24" s="56">
        <f t="shared" si="4"/>
        <v>5.7046169015877078E-2</v>
      </c>
      <c r="G24" s="56">
        <f t="shared" si="4"/>
        <v>6.3002576789832884E-2</v>
      </c>
      <c r="H24" s="56">
        <f t="shared" si="4"/>
        <v>1.0964769844656727E-2</v>
      </c>
      <c r="I24" s="56">
        <f t="shared" si="4"/>
        <v>0</v>
      </c>
      <c r="J24" s="56">
        <f t="shared" si="4"/>
        <v>0</v>
      </c>
      <c r="K24" s="56">
        <f t="shared" si="4"/>
        <v>0</v>
      </c>
      <c r="L24" s="56">
        <f t="shared" si="4"/>
        <v>1.0483981370877974E-2</v>
      </c>
      <c r="M24" s="30"/>
      <c r="N24" s="56">
        <f t="shared" si="2"/>
        <v>3.4595507767374786E-2</v>
      </c>
      <c r="O24" s="56">
        <f t="shared" si="3"/>
        <v>1.9783892408850985E-2</v>
      </c>
    </row>
    <row r="25" spans="2:15" x14ac:dyDescent="0.25">
      <c r="B25" s="156" t="s">
        <v>303</v>
      </c>
      <c r="C25" s="159">
        <f>IFERROR(('Historical FS'!C18-'Historical FS'!C25)/'Historical FS'!C21,0)</f>
        <v>156.67978801551163</v>
      </c>
      <c r="D25" s="159">
        <f>IFERROR(('Historical FS'!D18-'Historical FS'!D25)/'Historical FS'!D21,0)</f>
        <v>185.99081671273518</v>
      </c>
      <c r="E25" s="159">
        <f>IFERROR(('Historical FS'!E18-'Historical FS'!E25)/'Historical FS'!E21,0)</f>
        <v>315.51056588311661</v>
      </c>
      <c r="F25" s="159">
        <f>IFERROR(('Historical FS'!F18-'Historical FS'!F25)/'Historical FS'!F21,0)</f>
        <v>143.6445660931349</v>
      </c>
      <c r="G25" s="159">
        <f>IFERROR(('Historical FS'!G18-'Historical FS'!G25)/'Historical FS'!G21,0)</f>
        <v>259.6269062794774</v>
      </c>
      <c r="H25" s="159">
        <f>IFERROR(('Historical FS'!H18-'Historical FS'!H25)/'Historical FS'!H21,0)</f>
        <v>237.69361875072397</v>
      </c>
      <c r="I25" s="159">
        <f>IFERROR(('Historical FS'!I18-'Historical FS'!I25)/'Historical FS'!I21,0)</f>
        <v>294.37203022354083</v>
      </c>
      <c r="J25" s="159">
        <f>IFERROR(('Historical FS'!J18-'Historical FS'!J25)/'Historical FS'!J21,0)</f>
        <v>343.77598655396281</v>
      </c>
      <c r="K25" s="159">
        <f>IFERROR(('Historical FS'!K18-'Historical FS'!K25)/'Historical FS'!K21,0)</f>
        <v>330.51606650245463</v>
      </c>
      <c r="L25" s="159">
        <f>IFERROR(('Historical FS'!L18-'Historical FS'!L25)/'Historical FS'!L21,0)</f>
        <v>327.66093390890831</v>
      </c>
      <c r="M25" s="156"/>
      <c r="N25" s="160">
        <f t="shared" si="2"/>
        <v>259.54712789235663</v>
      </c>
      <c r="O25" s="160">
        <f t="shared" si="3"/>
        <v>276.99946825150914</v>
      </c>
    </row>
    <row r="27" spans="2:15" x14ac:dyDescent="0.25">
      <c r="B27" s="155" t="s">
        <v>304</v>
      </c>
      <c r="C27" s="161">
        <f>IFERROR('Historical FS'!C6/'Historical FS'!C59,0)</f>
        <v>19.584146876750065</v>
      </c>
      <c r="D27" s="161">
        <f>IFERROR('Historical FS'!D6/'Historical FS'!D59,0)</f>
        <v>20.442577118476095</v>
      </c>
      <c r="E27" s="161">
        <f>IFERROR('Historical FS'!E6/'Historical FS'!E59,0)</f>
        <v>17.28479685081377</v>
      </c>
      <c r="F27" s="161">
        <f>IFERROR('Historical FS'!F6/'Historical FS'!F59,0)</f>
        <v>16.198449832046499</v>
      </c>
      <c r="G27" s="161">
        <f>IFERROR('Historical FS'!G6/'Historical FS'!G59,0)</f>
        <v>11.97923811978351</v>
      </c>
      <c r="H27" s="161">
        <f>IFERROR('Historical FS'!H6/'Historical FS'!H59,0)</f>
        <v>19.273399207018201</v>
      </c>
      <c r="I27" s="161">
        <f>IFERROR('Historical FS'!I6/'Historical FS'!I59,0)</f>
        <v>19.689591078066915</v>
      </c>
      <c r="J27" s="161">
        <f>IFERROR('Historical FS'!J6/'Historical FS'!J59,0)</f>
        <v>24.633226369876922</v>
      </c>
      <c r="K27" s="161">
        <f>IFERROR('Historical FS'!K6/'Historical FS'!K59,0)</f>
        <v>23.990173095593285</v>
      </c>
      <c r="L27" s="161">
        <f>IFERROR('Historical FS'!L6/'Historical FS'!L59,0)</f>
        <v>17.602928099120177</v>
      </c>
      <c r="M27" s="155"/>
      <c r="N27" s="162">
        <f t="shared" si="2"/>
        <v>19.067852664754543</v>
      </c>
      <c r="O27" s="162">
        <f t="shared" si="3"/>
        <v>19.428773041884135</v>
      </c>
    </row>
    <row r="28" spans="2:15" x14ac:dyDescent="0.25">
      <c r="B28" s="30" t="s">
        <v>305</v>
      </c>
      <c r="C28" s="163">
        <f>IFERROR('Historical FS'!C6/'Historical FS'!C50,0)</f>
        <v>2.7830043597867209</v>
      </c>
      <c r="D28" s="163">
        <f>IFERROR('Historical FS'!D6/'Historical FS'!D50,0)</f>
        <v>4.4095323603404122</v>
      </c>
      <c r="E28" s="163">
        <f>IFERROR('Historical FS'!E6/'Historical FS'!E50,0)</f>
        <v>4.5306244815761563</v>
      </c>
      <c r="F28" s="163">
        <f>IFERROR('Historical FS'!F6/'Historical FS'!F50,0)</f>
        <v>3.7152199472417347</v>
      </c>
      <c r="G28" s="163">
        <f>IFERROR('Historical FS'!G6/'Historical FS'!G50,0)</f>
        <v>3.8411296865328062</v>
      </c>
      <c r="H28" s="163">
        <f>IFERROR('Historical FS'!H6/'Historical FS'!H50,0)</f>
        <v>4.1996200693194918</v>
      </c>
      <c r="I28" s="163">
        <f>IFERROR('Historical FS'!I6/'Historical FS'!I50,0)</f>
        <v>3.7479256371841467</v>
      </c>
      <c r="J28" s="163">
        <f>IFERROR('Historical FS'!J6/'Historical FS'!J50,0)</f>
        <v>4.1849767545533405</v>
      </c>
      <c r="K28" s="163">
        <f>IFERROR('Historical FS'!K6/'Historical FS'!K50,0)</f>
        <v>4.3323459375454343</v>
      </c>
      <c r="L28" s="163">
        <f>IFERROR('Historical FS'!L6/'Historical FS'!L50,0)</f>
        <v>4.1824919703910748</v>
      </c>
      <c r="M28" s="30"/>
      <c r="N28" s="164">
        <f t="shared" si="2"/>
        <v>3.9926871204471319</v>
      </c>
      <c r="O28" s="164">
        <f t="shared" si="3"/>
        <v>4.1837343624722081</v>
      </c>
    </row>
    <row r="29" spans="2:15" x14ac:dyDescent="0.25">
      <c r="B29" s="30" t="s">
        <v>306</v>
      </c>
      <c r="C29" s="163">
        <f>IFERROR('Historical FS'!C9/'Historical FS'!C60,0)</f>
        <v>2.292847102611312</v>
      </c>
      <c r="D29" s="163">
        <f>IFERROR('Historical FS'!D9/'Historical FS'!D60,0)</f>
        <v>2.1146246455015945</v>
      </c>
      <c r="E29" s="163">
        <f>IFERROR('Historical FS'!E9/'Historical FS'!E60,0)</f>
        <v>2.7043925037887653</v>
      </c>
      <c r="F29" s="163">
        <f>IFERROR('Historical FS'!F9/'Historical FS'!F60,0)</f>
        <v>2.9309187748245851</v>
      </c>
      <c r="G29" s="163">
        <f>IFERROR('Historical FS'!G9/'Historical FS'!G60,0)</f>
        <v>3.0810821470922036</v>
      </c>
      <c r="H29" s="163">
        <f>IFERROR('Historical FS'!H9/'Historical FS'!H60,0)</f>
        <v>2.7401166529456611</v>
      </c>
      <c r="I29" s="163">
        <f>IFERROR('Historical FS'!I9/'Historical FS'!I60,0)</f>
        <v>2.5854666081891593</v>
      </c>
      <c r="J29" s="163">
        <f>IFERROR('Historical FS'!J9/'Historical FS'!J60,0)</f>
        <v>3.1344430995521977</v>
      </c>
      <c r="K29" s="163">
        <f>IFERROR('Historical FS'!K9/'Historical FS'!K60,0)</f>
        <v>3.2538959626748771</v>
      </c>
      <c r="L29" s="163">
        <f>IFERROR('Historical FS'!L9/'Historical FS'!L60,0)</f>
        <v>2.6154026600946239</v>
      </c>
      <c r="M29" s="30"/>
      <c r="N29" s="164">
        <f t="shared" si="2"/>
        <v>2.7453190157274978</v>
      </c>
      <c r="O29" s="164">
        <f t="shared" si="3"/>
        <v>2.7222545783672132</v>
      </c>
    </row>
    <row r="30" spans="2:15" x14ac:dyDescent="0.25">
      <c r="B30" s="30" t="s">
        <v>307</v>
      </c>
      <c r="C30" s="163">
        <f>IFERROR('Historical FS'!C6/'Historical FS'!C53,0)</f>
        <v>2.5365248495747319</v>
      </c>
      <c r="D30" s="163">
        <f>IFERROR('Historical FS'!D6/'Historical FS'!D53,0)</f>
        <v>2.594364196382648</v>
      </c>
      <c r="E30" s="163">
        <f>IFERROR('Historical FS'!E6/'Historical FS'!E53,0)</f>
        <v>2.6908895974953251</v>
      </c>
      <c r="F30" s="163">
        <f>IFERROR('Historical FS'!F6/'Historical FS'!F53,0)</f>
        <v>2.6294508096122238</v>
      </c>
      <c r="G30" s="163">
        <f>IFERROR('Historical FS'!G6/'Historical FS'!G53,0)</f>
        <v>2.4950503737188501</v>
      </c>
      <c r="H30" s="163">
        <f>IFERROR('Historical FS'!H6/'Historical FS'!H53,0)</f>
        <v>2.2745326145125531</v>
      </c>
      <c r="I30" s="163">
        <f>IFERROR('Historical FS'!I6/'Historical FS'!I53,0)</f>
        <v>2.1141915695787881</v>
      </c>
      <c r="J30" s="163">
        <f>IFERROR('Historical FS'!J6/'Historical FS'!J53,0)</f>
        <v>2.5027057654904197</v>
      </c>
      <c r="K30" s="163">
        <f>IFERROR('Historical FS'!K6/'Historical FS'!K53,0)</f>
        <v>2.7433480057266046</v>
      </c>
      <c r="L30" s="163">
        <f>IFERROR('Historical FS'!L6/'Historical FS'!L53,0)</f>
        <v>2.5472918618184903</v>
      </c>
      <c r="M30" s="30"/>
      <c r="N30" s="164">
        <f t="shared" si="2"/>
        <v>2.5128349643910637</v>
      </c>
      <c r="O30" s="164">
        <f t="shared" si="3"/>
        <v>2.5419083556966111</v>
      </c>
    </row>
    <row r="31" spans="2:15" x14ac:dyDescent="0.25">
      <c r="B31" s="156" t="s">
        <v>308</v>
      </c>
      <c r="C31" s="159">
        <f>IFERROR('Historical FS'!C6/SUM('Historical FS'!C47:C48),0)</f>
        <v>1.2231463891056986</v>
      </c>
      <c r="D31" s="159">
        <f>IFERROR('Historical FS'!D6/SUM('Historical FS'!D47:D48),0)</f>
        <v>0.91828820942691003</v>
      </c>
      <c r="E31" s="159">
        <f>IFERROR('Historical FS'!E6/SUM('Historical FS'!E47:E48),0)</f>
        <v>0.92145874005368755</v>
      </c>
      <c r="F31" s="159">
        <f>IFERROR('Historical FS'!F6/SUM('Historical FS'!F47:F48),0)</f>
        <v>0.82743951593321752</v>
      </c>
      <c r="G31" s="159">
        <f>IFERROR('Historical FS'!G6/SUM('Historical FS'!G47:G48),0)</f>
        <v>0.81736335633885671</v>
      </c>
      <c r="H31" s="159">
        <f>IFERROR('Historical FS'!H6/SUM('Historical FS'!H47:H48),0)</f>
        <v>0.75662989714317919</v>
      </c>
      <c r="I31" s="159">
        <f>IFERROR('Historical FS'!I6/SUM('Historical FS'!I47:I48),0)</f>
        <v>0.81623233103563475</v>
      </c>
      <c r="J31" s="159">
        <f>IFERROR('Historical FS'!J6/SUM('Historical FS'!J47:J48),0)</f>
        <v>0.97100290654620558</v>
      </c>
      <c r="K31" s="159">
        <f>IFERROR('Historical FS'!K6/SUM('Historical FS'!K47:K48),0)</f>
        <v>1.0255044952473606</v>
      </c>
      <c r="L31" s="159">
        <f>IFERROR('Historical FS'!L6/SUM('Historical FS'!L47:L48),0)</f>
        <v>0.95113506113519541</v>
      </c>
      <c r="M31" s="156"/>
      <c r="N31" s="160">
        <f t="shared" si="2"/>
        <v>0.92282009019659461</v>
      </c>
      <c r="O31" s="160">
        <f t="shared" si="3"/>
        <v>0.91987347474029879</v>
      </c>
    </row>
    <row r="33" spans="2:15" x14ac:dyDescent="0.25">
      <c r="B33" s="155" t="s">
        <v>309</v>
      </c>
      <c r="C33" s="165">
        <f>IFERROR(365/C27,0)</f>
        <v>18.637523620358525</v>
      </c>
      <c r="D33" s="165">
        <f t="shared" ref="D33:L33" si="5">IFERROR(365/D27,0)</f>
        <v>17.854891674597688</v>
      </c>
      <c r="E33" s="165">
        <f t="shared" si="5"/>
        <v>21.116823249375695</v>
      </c>
      <c r="F33" s="165">
        <f t="shared" si="5"/>
        <v>22.533020368275956</v>
      </c>
      <c r="G33" s="165">
        <f t="shared" si="5"/>
        <v>30.469383474163408</v>
      </c>
      <c r="H33" s="165">
        <f t="shared" si="5"/>
        <v>18.9380189804344</v>
      </c>
      <c r="I33" s="165">
        <f t="shared" si="5"/>
        <v>18.537713584442557</v>
      </c>
      <c r="J33" s="165">
        <f t="shared" si="5"/>
        <v>14.817385044061677</v>
      </c>
      <c r="K33" s="165">
        <f t="shared" si="5"/>
        <v>15.214563002342249</v>
      </c>
      <c r="L33" s="165">
        <f t="shared" si="5"/>
        <v>20.735186665804953</v>
      </c>
      <c r="M33" s="155"/>
      <c r="N33" s="165">
        <f t="shared" si="2"/>
        <v>19.885450966385712</v>
      </c>
      <c r="O33" s="165">
        <f t="shared" si="3"/>
        <v>18.787771300396464</v>
      </c>
    </row>
    <row r="34" spans="2:15" x14ac:dyDescent="0.25">
      <c r="B34" s="30" t="s">
        <v>310</v>
      </c>
      <c r="C34" s="166">
        <f>IFERROR(365/C28,0)</f>
        <v>131.15322608692293</v>
      </c>
      <c r="D34" s="166">
        <f t="shared" ref="D34:L34" si="6">IFERROR(365/D28,0)</f>
        <v>82.775217454538037</v>
      </c>
      <c r="E34" s="166">
        <f t="shared" si="6"/>
        <v>80.562845471805772</v>
      </c>
      <c r="F34" s="166">
        <f t="shared" si="6"/>
        <v>98.244519889322959</v>
      </c>
      <c r="G34" s="166">
        <f t="shared" si="6"/>
        <v>95.024128260940614</v>
      </c>
      <c r="H34" s="166">
        <f t="shared" si="6"/>
        <v>86.912623993423466</v>
      </c>
      <c r="I34" s="166">
        <f t="shared" si="6"/>
        <v>97.387204372130526</v>
      </c>
      <c r="J34" s="166">
        <f t="shared" si="6"/>
        <v>87.216732949083294</v>
      </c>
      <c r="K34" s="166">
        <f t="shared" si="6"/>
        <v>84.249966475852816</v>
      </c>
      <c r="L34" s="166">
        <f t="shared" si="6"/>
        <v>87.268547694515107</v>
      </c>
      <c r="M34" s="30"/>
      <c r="N34" s="166">
        <f t="shared" si="2"/>
        <v>93.079501264853562</v>
      </c>
      <c r="O34" s="166">
        <f t="shared" si="3"/>
        <v>87.2426403217992</v>
      </c>
    </row>
    <row r="35" spans="2:15" x14ac:dyDescent="0.25">
      <c r="B35" s="30" t="s">
        <v>311</v>
      </c>
      <c r="C35" s="166">
        <f>IFERROR(365/C29,0)</f>
        <v>159.19072823665536</v>
      </c>
      <c r="D35" s="166">
        <f t="shared" ref="D35:L35" si="7">IFERROR(365/D29,0)</f>
        <v>172.60746524280722</v>
      </c>
      <c r="E35" s="166">
        <f t="shared" si="7"/>
        <v>134.96561593357731</v>
      </c>
      <c r="F35" s="166">
        <f t="shared" si="7"/>
        <v>124.53432798452259</v>
      </c>
      <c r="G35" s="166">
        <f t="shared" si="7"/>
        <v>118.46487129350696</v>
      </c>
      <c r="H35" s="166">
        <f t="shared" si="7"/>
        <v>133.20600771051855</v>
      </c>
      <c r="I35" s="166">
        <f t="shared" si="7"/>
        <v>141.17374358806481</v>
      </c>
      <c r="J35" s="166">
        <f t="shared" si="7"/>
        <v>116.44811802522297</v>
      </c>
      <c r="K35" s="166">
        <f t="shared" si="7"/>
        <v>112.1732237867711</v>
      </c>
      <c r="L35" s="166">
        <f t="shared" si="7"/>
        <v>139.55786065721693</v>
      </c>
      <c r="M35" s="30"/>
      <c r="N35" s="166">
        <f t="shared" si="2"/>
        <v>135.23219624588637</v>
      </c>
      <c r="O35" s="166">
        <f t="shared" si="3"/>
        <v>134.08581182204793</v>
      </c>
    </row>
    <row r="36" spans="2:15" x14ac:dyDescent="0.25">
      <c r="B36" s="156" t="s">
        <v>312</v>
      </c>
      <c r="C36" s="167">
        <f>SUM(C33,C35)-C34</f>
        <v>46.675025770090969</v>
      </c>
      <c r="D36" s="167">
        <f t="shared" ref="D36:L36" si="8">SUM(D33,D35)-D34</f>
        <v>107.68713946286688</v>
      </c>
      <c r="E36" s="167">
        <f t="shared" si="8"/>
        <v>75.519593711147238</v>
      </c>
      <c r="F36" s="167">
        <f t="shared" si="8"/>
        <v>48.822828463475588</v>
      </c>
      <c r="G36" s="167">
        <f t="shared" si="8"/>
        <v>53.910126506729767</v>
      </c>
      <c r="H36" s="167">
        <f t="shared" si="8"/>
        <v>65.231402697529489</v>
      </c>
      <c r="I36" s="167">
        <f t="shared" si="8"/>
        <v>62.324252800376854</v>
      </c>
      <c r="J36" s="167">
        <f t="shared" si="8"/>
        <v>44.048770120201354</v>
      </c>
      <c r="K36" s="167">
        <f t="shared" si="8"/>
        <v>43.137820313260534</v>
      </c>
      <c r="L36" s="167">
        <f t="shared" si="8"/>
        <v>73.024499628506774</v>
      </c>
      <c r="M36" s="156"/>
      <c r="N36" s="167">
        <f t="shared" si="2"/>
        <v>62.038145947418535</v>
      </c>
      <c r="O36" s="167">
        <f t="shared" si="3"/>
        <v>58.117189653553311</v>
      </c>
    </row>
    <row r="38" spans="2:15" x14ac:dyDescent="0.25">
      <c r="B38" s="155" t="s">
        <v>313</v>
      </c>
      <c r="C38" s="157">
        <f>IFERROR('Historical FS'!C70/'Historical FS'!C6,0)</f>
        <v>0.25357863727759511</v>
      </c>
      <c r="D38" s="157">
        <f>IFERROR('Historical FS'!D70/'Historical FS'!D6,0)</f>
        <v>0.25002589807639808</v>
      </c>
      <c r="E38" s="157">
        <f>IFERROR('Historical FS'!E70/'Historical FS'!E6,0)</f>
        <v>0.2484897445729945</v>
      </c>
      <c r="F38" s="157">
        <f>IFERROR('Historical FS'!F70/'Historical FS'!F6,0)</f>
        <v>0.30310060498599045</v>
      </c>
      <c r="G38" s="157">
        <f>IFERROR('Historical FS'!G70/'Historical FS'!G6,0)</f>
        <v>0.26031277061157748</v>
      </c>
      <c r="H38" s="157">
        <f>IFERROR('Historical FS'!H70/'Historical FS'!H6,0)</f>
        <v>0.29743559631244221</v>
      </c>
      <c r="I38" s="157">
        <f>IFERROR('Historical FS'!I70/'Historical FS'!I6,0)</f>
        <v>0.25431625063822832</v>
      </c>
      <c r="J38" s="157">
        <f>IFERROR('Historical FS'!J70/'Historical FS'!J6,0)</f>
        <v>0.26013075538210034</v>
      </c>
      <c r="K38" s="157">
        <f>IFERROR('Historical FS'!K70/'Historical FS'!K6,0)</f>
        <v>0.26618454877343922</v>
      </c>
      <c r="L38" s="157">
        <f>IFERROR('Historical FS'!L70/'Historical FS'!L6,0)</f>
        <v>0.24241253449104525</v>
      </c>
      <c r="M38" s="155"/>
      <c r="N38" s="157">
        <f t="shared" si="2"/>
        <v>0.2635987341121811</v>
      </c>
      <c r="O38" s="157">
        <f t="shared" si="3"/>
        <v>0.25722350301016433</v>
      </c>
    </row>
    <row r="39" spans="2:15" x14ac:dyDescent="0.25">
      <c r="B39" s="30" t="s">
        <v>314</v>
      </c>
      <c r="C39" s="56">
        <f>IFERROR(('Historical FS'!C70/'Historical FS'!C64)-1,0)</f>
        <v>-0.78579489739559916</v>
      </c>
      <c r="D39" s="56">
        <f>IFERROR('Historical FS'!D70/'Historical FS'!D64,0)</f>
        <v>0.18971511678109418</v>
      </c>
      <c r="E39" s="56">
        <f>IFERROR('Historical FS'!E70/'Historical FS'!E64,0)</f>
        <v>0.1901185939040744</v>
      </c>
      <c r="F39" s="56">
        <f>IFERROR('Historical FS'!F70/'Historical FS'!F64,0)</f>
        <v>0.20500030510167355</v>
      </c>
      <c r="G39" s="56">
        <f>IFERROR('Historical FS'!G70/'Historical FS'!G64,0)</f>
        <v>0.17540533020793139</v>
      </c>
      <c r="H39" s="56">
        <f>IFERROR('Historical FS'!H70/'Historical FS'!H64,0)</f>
        <v>0.19000798724627557</v>
      </c>
      <c r="I39" s="56">
        <f>IFERROR('Historical FS'!I70/'Historical FS'!I64,0)</f>
        <v>0.16983244207353612</v>
      </c>
      <c r="J39" s="56">
        <f>IFERROR('Historical FS'!J70/'Historical FS'!J64,0)</f>
        <v>0.20435651993457693</v>
      </c>
      <c r="K39" s="56">
        <f>IFERROR('Historical FS'!K70/'Historical FS'!K64,0)</f>
        <v>0.21993870277112126</v>
      </c>
      <c r="L39" s="56">
        <f>IFERROR('Historical FS'!L70/'Historical FS'!L64,0)</f>
        <v>0.18722743005016568</v>
      </c>
      <c r="M39" s="30"/>
      <c r="N39" s="56">
        <f t="shared" si="2"/>
        <v>9.4580753067484993E-2</v>
      </c>
      <c r="O39" s="56">
        <f t="shared" si="3"/>
        <v>0.18986155201368488</v>
      </c>
    </row>
    <row r="40" spans="2:15" x14ac:dyDescent="0.25">
      <c r="B40" s="156" t="s">
        <v>315</v>
      </c>
      <c r="C40" s="158">
        <f>IFERROR('Historical FS'!C70/'Historical FS'!C49,0)</f>
        <v>36.61904761904762</v>
      </c>
      <c r="D40" s="158">
        <f>IFERROR('Historical FS'!D70/'Historical FS'!D49,0)</f>
        <v>116.96156600620674</v>
      </c>
      <c r="E40" s="158">
        <f>IFERROR('Historical FS'!E70/'Historical FS'!E49,0)</f>
        <v>232.44335083114609</v>
      </c>
      <c r="F40" s="158">
        <f>IFERROR('Historical FS'!F70/'Historical FS'!F49,0)</f>
        <v>366.63140311804005</v>
      </c>
      <c r="G40" s="158">
        <f>IFERROR('Historical FS'!G70/'Historical FS'!G49,0)</f>
        <v>936.265625</v>
      </c>
      <c r="H40" s="158">
        <f>IFERROR('Historical FS'!H70/'Historical FS'!H49,0)</f>
        <v>52.945251396648047</v>
      </c>
      <c r="I40" s="158">
        <f>IFERROR('Historical FS'!I70/'Historical FS'!I49,0)</f>
        <v>46.253996972270429</v>
      </c>
      <c r="J40" s="158">
        <f>IFERROR('Historical FS'!J70/'Historical FS'!J49,0)</f>
        <v>63.243705901218732</v>
      </c>
      <c r="K40" s="158">
        <f>IFERROR('Historical FS'!K70/'Historical FS'!K49,0)</f>
        <v>61.683276695856748</v>
      </c>
      <c r="L40" s="158">
        <f>IFERROR('Historical FS'!L70/'Historical FS'!L49,0)</f>
        <v>56.615562073624886</v>
      </c>
      <c r="M40" s="156"/>
      <c r="N40" s="158">
        <f t="shared" si="2"/>
        <v>196.96627856140591</v>
      </c>
      <c r="O40" s="158">
        <f t="shared" si="3"/>
        <v>62.46349129853774</v>
      </c>
    </row>
  </sheetData>
  <mergeCells count="1">
    <mergeCell ref="B2:O2"/>
  </mergeCells>
  <pageMargins left="0.7" right="0.7" top="0.75" bottom="0.75" header="0.3" footer="0.3"/>
  <pageSetup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 markers="1">
          <x14:colorSeries theme="8" tint="-0.249977111117893"/>
          <x14:colorNegative rgb="FFD00000"/>
          <x14:colorAxis rgb="FF000000"/>
          <x14:colorMarkers theme="1"/>
          <x14:colorFirst rgb="FFD00000"/>
          <x14:colorLast rgb="FFD00000"/>
          <x14:colorHigh rgb="FFD00000"/>
          <x14:colorLow rgb="FFD00000"/>
          <x14:sparklines>
            <x14:sparkline>
              <xm:f>'Ratio Analysis'!D5:L5</xm:f>
              <xm:sqref>M5</xm:sqref>
            </x14:sparkline>
            <x14:sparkline>
              <xm:f>'Ratio Analysis'!D6:L6</xm:f>
              <xm:sqref>M6</xm:sqref>
            </x14:sparkline>
            <x14:sparkline>
              <xm:f>'Ratio Analysis'!D7:L7</xm:f>
              <xm:sqref>M7</xm:sqref>
            </x14:sparkline>
            <x14:sparkline>
              <xm:f>'Ratio Analysis'!D8:L8</xm:f>
              <xm:sqref>M8</xm:sqref>
            </x14:sparkline>
            <x14:sparkline>
              <xm:f>'Ratio Analysis'!D9:L9</xm:f>
              <xm:sqref>M9</xm:sqref>
            </x14:sparkline>
          </x14:sparklines>
        </x14:sparklineGroup>
        <x14:sparklineGroup manualMax="0" manualMin="0" displayEmptyCellsAs="gap" markers="1">
          <x14:colorSeries theme="8" tint="-0.249977111117893"/>
          <x14:colorNegative rgb="FFD00000"/>
          <x14:colorAxis rgb="FF000000"/>
          <x14:colorMarkers theme="1"/>
          <x14:colorFirst rgb="FFD00000"/>
          <x14:colorLast rgb="FFD00000"/>
          <x14:colorHigh rgb="FFD00000"/>
          <x14:colorLow rgb="FFD00000"/>
          <x14:sparklines>
            <x14:sparkline>
              <xm:f>'Ratio Analysis'!C11:L11</xm:f>
              <xm:sqref>M11</xm:sqref>
            </x14:sparkline>
            <x14:sparkline>
              <xm:f>'Ratio Analysis'!C12:L12</xm:f>
              <xm:sqref>M12</xm:sqref>
            </x14:sparkline>
            <x14:sparkline>
              <xm:f>'Ratio Analysis'!C13:L13</xm:f>
              <xm:sqref>M13</xm:sqref>
            </x14:sparkline>
            <x14:sparkline>
              <xm:f>'Ratio Analysis'!C14:L14</xm:f>
              <xm:sqref>M14</xm:sqref>
            </x14:sparkline>
            <x14:sparkline>
              <xm:f>'Ratio Analysis'!C15:L15</xm:f>
              <xm:sqref>M15</xm:sqref>
            </x14:sparkline>
          </x14:sparklines>
        </x14:sparklineGroup>
        <x14:sparklineGroup manualMax="0" manualMin="0" displayEmptyCellsAs="gap" markers="1">
          <x14:colorSeries theme="8" tint="-0.249977111117893"/>
          <x14:colorNegative rgb="FFD00000"/>
          <x14:colorAxis rgb="FF000000"/>
          <x14:colorMarkers theme="1"/>
          <x14:colorFirst rgb="FFD00000"/>
          <x14:colorLast rgb="FFD00000"/>
          <x14:colorHigh rgb="FFD00000"/>
          <x14:colorLow rgb="FFD00000"/>
          <x14:sparklines>
            <x14:sparkline>
              <xm:f>'Ratio Analysis'!C17:L17</xm:f>
              <xm:sqref>M17</xm:sqref>
            </x14:sparkline>
            <x14:sparkline>
              <xm:f>'Ratio Analysis'!C18:L18</xm:f>
              <xm:sqref>M18</xm:sqref>
            </x14:sparkline>
            <x14:sparkline>
              <xm:f>'Ratio Analysis'!C19:L19</xm:f>
              <xm:sqref>M19</xm:sqref>
            </x14:sparkline>
          </x14:sparklines>
        </x14:sparklineGroup>
        <x14:sparklineGroup manualMax="0" manualMin="0" displayEmptyCellsAs="gap" markers="1">
          <x14:colorSeries theme="8" tint="-0.249977111117893"/>
          <x14:colorNegative rgb="FFD00000"/>
          <x14:colorAxis rgb="FF000000"/>
          <x14:colorMarkers theme="1"/>
          <x14:colorFirst rgb="FFD00000"/>
          <x14:colorLast rgb="FFD00000"/>
          <x14:colorHigh rgb="FFD00000"/>
          <x14:colorLow rgb="FFD00000"/>
          <x14:sparklines>
            <x14:sparkline>
              <xm:f>'Ratio Analysis'!C21:L21</xm:f>
              <xm:sqref>M21</xm:sqref>
            </x14:sparkline>
            <x14:sparkline>
              <xm:f>'Ratio Analysis'!C22:L22</xm:f>
              <xm:sqref>M22</xm:sqref>
            </x14:sparkline>
            <x14:sparkline>
              <xm:f>'Ratio Analysis'!C23:L23</xm:f>
              <xm:sqref>M23</xm:sqref>
            </x14:sparkline>
            <x14:sparkline>
              <xm:f>'Ratio Analysis'!C24:L24</xm:f>
              <xm:sqref>M24</xm:sqref>
            </x14:sparkline>
            <x14:sparkline>
              <xm:f>'Ratio Analysis'!C25:L25</xm:f>
              <xm:sqref>M25</xm:sqref>
            </x14:sparkline>
          </x14:sparklines>
        </x14:sparklineGroup>
        <x14:sparklineGroup manualMax="0" manualMin="0" displayEmptyCellsAs="gap" markers="1">
          <x14:colorSeries theme="8" tint="-0.249977111117893"/>
          <x14:colorNegative rgb="FFD00000"/>
          <x14:colorAxis rgb="FF000000"/>
          <x14:colorMarkers theme="1"/>
          <x14:colorFirst rgb="FFD00000"/>
          <x14:colorLast rgb="FFD00000"/>
          <x14:colorHigh rgb="FFD00000"/>
          <x14:colorLow rgb="FFD00000"/>
          <x14:sparklines>
            <x14:sparkline>
              <xm:f>'Ratio Analysis'!C27:L27</xm:f>
              <xm:sqref>M27</xm:sqref>
            </x14:sparkline>
            <x14:sparkline>
              <xm:f>'Ratio Analysis'!C28:L28</xm:f>
              <xm:sqref>M28</xm:sqref>
            </x14:sparkline>
            <x14:sparkline>
              <xm:f>'Ratio Analysis'!C29:L29</xm:f>
              <xm:sqref>M29</xm:sqref>
            </x14:sparkline>
            <x14:sparkline>
              <xm:f>'Ratio Analysis'!C30:L30</xm:f>
              <xm:sqref>M30</xm:sqref>
            </x14:sparkline>
            <x14:sparkline>
              <xm:f>'Ratio Analysis'!C31:L31</xm:f>
              <xm:sqref>M31</xm:sqref>
            </x14:sparkline>
          </x14:sparklines>
        </x14:sparklineGroup>
        <x14:sparklineGroup manualMax="0" manualMin="0" displayEmptyCellsAs="gap" markers="1">
          <x14:colorSeries theme="8" tint="-0.249977111117893"/>
          <x14:colorNegative rgb="FFD00000"/>
          <x14:colorAxis rgb="FF000000"/>
          <x14:colorMarkers theme="1"/>
          <x14:colorFirst rgb="FFD00000"/>
          <x14:colorLast rgb="FFD00000"/>
          <x14:colorHigh rgb="FFD00000"/>
          <x14:colorLow rgb="FFD00000"/>
          <x14:sparklines>
            <x14:sparkline>
              <xm:f>'Ratio Analysis'!C33:L33</xm:f>
              <xm:sqref>M33</xm:sqref>
            </x14:sparkline>
            <x14:sparkline>
              <xm:f>'Ratio Analysis'!C34:L34</xm:f>
              <xm:sqref>M34</xm:sqref>
            </x14:sparkline>
            <x14:sparkline>
              <xm:f>'Ratio Analysis'!C35:L35</xm:f>
              <xm:sqref>M35</xm:sqref>
            </x14:sparkline>
            <x14:sparkline>
              <xm:f>'Ratio Analysis'!C36:L36</xm:f>
              <xm:sqref>M36</xm:sqref>
            </x14:sparkline>
          </x14:sparklines>
        </x14:sparklineGroup>
        <x14:sparklineGroup manualMax="0" manualMin="0" displayEmptyCellsAs="gap" markers="1">
          <x14:colorSeries theme="8" tint="-0.249977111117893"/>
          <x14:colorNegative rgb="FFD00000"/>
          <x14:colorAxis rgb="FF000000"/>
          <x14:colorMarkers theme="1"/>
          <x14:colorFirst rgb="FFD00000"/>
          <x14:colorLast rgb="FFD00000"/>
          <x14:colorHigh rgb="FFD00000"/>
          <x14:colorLow rgb="FFD00000"/>
          <x14:sparklines>
            <x14:sparkline>
              <xm:f>'Ratio Analysis'!C38:L38</xm:f>
              <xm:sqref>M38</xm:sqref>
            </x14:sparkline>
            <x14:sparkline>
              <xm:f>'Ratio Analysis'!C39:L39</xm:f>
              <xm:sqref>M39</xm:sqref>
            </x14:sparkline>
            <x14:sparkline>
              <xm:f>'Ratio Analysis'!C40:L40</xm:f>
              <xm:sqref>M40</xm:sqref>
            </x14:sparkline>
          </x14:sparklines>
        </x14:sparklineGroup>
      </x14:sparklineGroup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L46"/>
  <sheetViews>
    <sheetView showGridLines="0" topLeftCell="A11" workbookViewId="0">
      <selection activeCell="E19" sqref="E19"/>
    </sheetView>
  </sheetViews>
  <sheetFormatPr defaultRowHeight="15" x14ac:dyDescent="0.25"/>
  <cols>
    <col min="1" max="1" width="1.85546875" customWidth="1"/>
    <col min="2" max="2" width="19.85546875" bestFit="1" customWidth="1"/>
    <col min="3" max="12" width="9.85546875" bestFit="1" customWidth="1"/>
  </cols>
  <sheetData>
    <row r="7" spans="1:12" x14ac:dyDescent="0.25">
      <c r="A7" t="s">
        <v>322</v>
      </c>
      <c r="B7" s="185" t="str">
        <f>"Common Size Income Statement"&amp;""&amp;" - "&amp;'Data Sheet'!$B$1</f>
        <v>Common Size Income Statement - ITC LTD</v>
      </c>
      <c r="C7" s="185"/>
      <c r="D7" s="185"/>
      <c r="E7" s="185"/>
      <c r="F7" s="185"/>
      <c r="G7" s="185"/>
      <c r="H7" s="185"/>
      <c r="I7" s="185"/>
      <c r="J7" s="185"/>
      <c r="K7" s="185"/>
      <c r="L7" s="185"/>
    </row>
    <row r="9" spans="1:12" x14ac:dyDescent="0.25">
      <c r="B9" s="174" t="s">
        <v>323</v>
      </c>
      <c r="C9" s="175">
        <f>'Data Sheet'!B$16</f>
        <v>42094</v>
      </c>
      <c r="D9" s="175">
        <f>'Data Sheet'!C$16</f>
        <v>42460</v>
      </c>
      <c r="E9" s="175">
        <f>'Data Sheet'!D$16</f>
        <v>42825</v>
      </c>
      <c r="F9" s="175">
        <f>'Data Sheet'!E$16</f>
        <v>43190</v>
      </c>
      <c r="G9" s="175">
        <f>'Data Sheet'!F$16</f>
        <v>43555</v>
      </c>
      <c r="H9" s="175">
        <f>'Data Sheet'!G$16</f>
        <v>43921</v>
      </c>
      <c r="I9" s="175">
        <f>'Data Sheet'!H$16</f>
        <v>44286</v>
      </c>
      <c r="J9" s="175">
        <f>'Data Sheet'!I$16</f>
        <v>44651</v>
      </c>
      <c r="K9" s="175">
        <f>'Data Sheet'!J$16</f>
        <v>45016</v>
      </c>
      <c r="L9" s="175">
        <f>'Data Sheet'!K$16</f>
        <v>45382</v>
      </c>
    </row>
    <row r="11" spans="1:12" x14ac:dyDescent="0.25">
      <c r="B11" s="177" t="str">
        <f>'Data Sheet'!A17</f>
        <v>Sales</v>
      </c>
      <c r="C11" s="178">
        <f>'Data Sheet'!B17/'Data Sheet'!B$17</f>
        <v>1</v>
      </c>
      <c r="D11" s="178">
        <f>'Data Sheet'!C17/'Data Sheet'!C$17</f>
        <v>1</v>
      </c>
      <c r="E11" s="178">
        <f>'Data Sheet'!D17/'Data Sheet'!D$17</f>
        <v>1</v>
      </c>
      <c r="F11" s="178">
        <f>'Data Sheet'!E17/'Data Sheet'!E$17</f>
        <v>1</v>
      </c>
      <c r="G11" s="178">
        <f>'Data Sheet'!F17/'Data Sheet'!F$17</f>
        <v>1</v>
      </c>
      <c r="H11" s="178">
        <f>'Data Sheet'!G17/'Data Sheet'!G$17</f>
        <v>1</v>
      </c>
      <c r="I11" s="178">
        <f>'Data Sheet'!H17/'Data Sheet'!H$17</f>
        <v>1</v>
      </c>
      <c r="J11" s="178">
        <f>'Data Sheet'!I17/'Data Sheet'!I$17</f>
        <v>1</v>
      </c>
      <c r="K11" s="178">
        <f>'Data Sheet'!J17/'Data Sheet'!J$17</f>
        <v>1</v>
      </c>
      <c r="L11" s="178">
        <f>'Data Sheet'!K17/'Data Sheet'!K$17</f>
        <v>1</v>
      </c>
    </row>
    <row r="12" spans="1:12" x14ac:dyDescent="0.25">
      <c r="B12" s="176" t="str">
        <f>'Data Sheet'!A18</f>
        <v>Raw Material Cost</v>
      </c>
      <c r="C12" s="180">
        <f>'Data Sheet'!B18/'Data Sheet'!B$17</f>
        <v>0.38663065165783678</v>
      </c>
      <c r="D12" s="180">
        <f>'Data Sheet'!C18/'Data Sheet'!C$17</f>
        <v>0.35119016332373104</v>
      </c>
      <c r="E12" s="180">
        <f>'Data Sheet'!D18/'Data Sheet'!D$17</f>
        <v>0.36140887026627638</v>
      </c>
      <c r="F12" s="180">
        <f>'Data Sheet'!E18/'Data Sheet'!E$17</f>
        <v>0.34126770411430057</v>
      </c>
      <c r="G12" s="180">
        <f>'Data Sheet'!F18/'Data Sheet'!F$17</f>
        <v>0.36457743323380137</v>
      </c>
      <c r="H12" s="180">
        <f>'Data Sheet'!G18/'Data Sheet'!G$17</f>
        <v>0.36544726723455434</v>
      </c>
      <c r="I12" s="180">
        <f>'Data Sheet'!H18/'Data Sheet'!H$17</f>
        <v>0.42179832695358777</v>
      </c>
      <c r="J12" s="180">
        <f>'Data Sheet'!I18/'Data Sheet'!I$17</f>
        <v>0.44638923800889574</v>
      </c>
      <c r="K12" s="180">
        <f>'Data Sheet'!J18/'Data Sheet'!J$17</f>
        <v>0.41405473255908887</v>
      </c>
      <c r="L12" s="180">
        <f>'Data Sheet'!K18/'Data Sheet'!K$17</f>
        <v>0.39279504395747367</v>
      </c>
    </row>
    <row r="13" spans="1:12" x14ac:dyDescent="0.25">
      <c r="B13" s="176" t="str">
        <f>'Data Sheet'!A19</f>
        <v>Change in Inventory</v>
      </c>
      <c r="C13" s="180">
        <f>'Data Sheet'!B19/'Data Sheet'!B$17</f>
        <v>6.0725735918273236E-3</v>
      </c>
      <c r="D13" s="180">
        <f>'Data Sheet'!C19/'Data Sheet'!C$17</f>
        <v>4.9851883415280122E-3</v>
      </c>
      <c r="E13" s="180">
        <f>'Data Sheet'!D19/'Data Sheet'!D$17</f>
        <v>-1.3855582263208599E-2</v>
      </c>
      <c r="F13" s="180">
        <f>'Data Sheet'!E19/'Data Sheet'!E$17</f>
        <v>-2.3654432075903346E-2</v>
      </c>
      <c r="G13" s="180">
        <f>'Data Sheet'!F19/'Data Sheet'!F$17</f>
        <v>4.2033877828479265E-3</v>
      </c>
      <c r="H13" s="180">
        <f>'Data Sheet'!G19/'Data Sheet'!G$17</f>
        <v>1.4236945636261661E-2</v>
      </c>
      <c r="I13" s="180">
        <f>'Data Sheet'!H19/'Data Sheet'!H$17</f>
        <v>1.3099947317613884E-2</v>
      </c>
      <c r="J13" s="180">
        <f>'Data Sheet'!I19/'Data Sheet'!I$17</f>
        <v>1.1311818013624969E-2</v>
      </c>
      <c r="K13" s="180">
        <f>'Data Sheet'!J19/'Data Sheet'!J$17</f>
        <v>5.0563297326542671E-3</v>
      </c>
      <c r="L13" s="180">
        <f>'Data Sheet'!K19/'Data Sheet'!K$17</f>
        <v>8.3070608253128231E-3</v>
      </c>
    </row>
    <row r="14" spans="1:12" x14ac:dyDescent="0.25">
      <c r="B14" s="176" t="str">
        <f>'Data Sheet'!A20</f>
        <v>Power and Fuel</v>
      </c>
      <c r="C14" s="180">
        <f>'Data Sheet'!B20/'Data Sheet'!B$17</f>
        <v>1.5731963835572679E-2</v>
      </c>
      <c r="D14" s="180">
        <f>'Data Sheet'!C20/'Data Sheet'!C$17</f>
        <v>1.4591716187701094E-2</v>
      </c>
      <c r="E14" s="180">
        <f>'Data Sheet'!D20/'Data Sheet'!D$17</f>
        <v>1.366291304632479E-2</v>
      </c>
      <c r="F14" s="180">
        <f>'Data Sheet'!E20/'Data Sheet'!E$17</f>
        <v>1.5040643108899779E-2</v>
      </c>
      <c r="G14" s="180">
        <f>'Data Sheet'!F20/'Data Sheet'!F$17</f>
        <v>1.544758973909165E-2</v>
      </c>
      <c r="H14" s="180">
        <f>'Data Sheet'!G20/'Data Sheet'!G$17</f>
        <v>1.5810616813498098E-2</v>
      </c>
      <c r="I14" s="180">
        <f>'Data Sheet'!H20/'Data Sheet'!H$17</f>
        <v>1.4202115619058639E-2</v>
      </c>
      <c r="J14" s="180">
        <f>'Data Sheet'!I20/'Data Sheet'!I$17</f>
        <v>1.4671889670529284E-2</v>
      </c>
      <c r="K14" s="180">
        <f>'Data Sheet'!J20/'Data Sheet'!J$17</f>
        <v>1.7376718209484814E-2</v>
      </c>
      <c r="L14" s="180">
        <f>'Data Sheet'!K20/'Data Sheet'!K$17</f>
        <v>1.5807954763214407E-2</v>
      </c>
    </row>
    <row r="15" spans="1:12" x14ac:dyDescent="0.25">
      <c r="B15" s="176" t="str">
        <f>'Data Sheet'!A21</f>
        <v>Other Mfr. Exp</v>
      </c>
      <c r="C15" s="180">
        <f>'Data Sheet'!B21/'Data Sheet'!B$17</f>
        <v>3.949929348239116E-2</v>
      </c>
      <c r="D15" s="180">
        <f>'Data Sheet'!C21/'Data Sheet'!C$17</f>
        <v>4.035481640432638E-2</v>
      </c>
      <c r="E15" s="180">
        <f>'Data Sheet'!D21/'Data Sheet'!D$17</f>
        <v>3.9373263872651262E-2</v>
      </c>
      <c r="F15" s="180">
        <f>'Data Sheet'!E21/'Data Sheet'!E$17</f>
        <v>3.9071609111752781E-2</v>
      </c>
      <c r="G15" s="180">
        <f>'Data Sheet'!F21/'Data Sheet'!F$17</f>
        <v>3.8705549365550963E-2</v>
      </c>
      <c r="H15" s="180">
        <f>'Data Sheet'!G21/'Data Sheet'!G$17</f>
        <v>3.8638972861663935E-2</v>
      </c>
      <c r="I15" s="180">
        <f>'Data Sheet'!H21/'Data Sheet'!H$17</f>
        <v>3.2222130865483298E-2</v>
      </c>
      <c r="J15" s="180">
        <f>'Data Sheet'!I21/'Data Sheet'!I$17</f>
        <v>3.1126792288308232E-2</v>
      </c>
      <c r="K15" s="180">
        <f>'Data Sheet'!J21/'Data Sheet'!J$17</f>
        <v>3.2823347978673707E-2</v>
      </c>
      <c r="L15" s="180">
        <f>'Data Sheet'!K21/'Data Sheet'!K$17</f>
        <v>3.5470637491318152E-2</v>
      </c>
    </row>
    <row r="16" spans="1:12" x14ac:dyDescent="0.25">
      <c r="B16" s="176" t="str">
        <f>'Data Sheet'!A22</f>
        <v>Employee Cost</v>
      </c>
      <c r="C16" s="180">
        <f>'Data Sheet'!B22/'Data Sheet'!B$17</f>
        <v>7.1418947552821369E-2</v>
      </c>
      <c r="D16" s="180">
        <f>'Data Sheet'!C22/'Data Sheet'!C$17</f>
        <v>8.779754083093276E-2</v>
      </c>
      <c r="E16" s="180">
        <f>'Data Sheet'!D22/'Data Sheet'!D$17</f>
        <v>8.4917788232213173E-2</v>
      </c>
      <c r="F16" s="180">
        <f>'Data Sheet'!E22/'Data Sheet'!E$17</f>
        <v>8.6559073708127279E-2</v>
      </c>
      <c r="G16" s="180">
        <f>'Data Sheet'!F22/'Data Sheet'!F$17</f>
        <v>8.6427726513138917E-2</v>
      </c>
      <c r="H16" s="180">
        <f>'Data Sheet'!G22/'Data Sheet'!G$17</f>
        <v>8.6980968945709156E-2</v>
      </c>
      <c r="I16" s="180">
        <f>'Data Sheet'!H22/'Data Sheet'!H$17</f>
        <v>9.0612283015056611E-2</v>
      </c>
      <c r="J16" s="180">
        <f>'Data Sheet'!I22/'Data Sheet'!I$17</f>
        <v>8.0642874032847811E-2</v>
      </c>
      <c r="K16" s="180">
        <f>'Data Sheet'!J22/'Data Sheet'!J$17</f>
        <v>8.0884073005510662E-2</v>
      </c>
      <c r="L16" s="180">
        <f>'Data Sheet'!K22/'Data Sheet'!K$17</f>
        <v>8.6562398841083951E-2</v>
      </c>
    </row>
    <row r="17" spans="1:12" x14ac:dyDescent="0.25">
      <c r="B17" s="176" t="str">
        <f>'Data Sheet'!A23</f>
        <v>Selling and admin</v>
      </c>
      <c r="C17" s="180">
        <f>'Data Sheet'!B23/'Data Sheet'!B$17</f>
        <v>9.9857666005876269E-2</v>
      </c>
      <c r="D17" s="180">
        <f>'Data Sheet'!C23/'Data Sheet'!C$17</f>
        <v>0.10874079214943828</v>
      </c>
      <c r="E17" s="180">
        <f>'Data Sheet'!D23/'Data Sheet'!D$17</f>
        <v>9.7731460264312231E-2</v>
      </c>
      <c r="F17" s="180">
        <f>'Data Sheet'!E23/'Data Sheet'!E$17</f>
        <v>9.1023394356686257E-2</v>
      </c>
      <c r="G17" s="180">
        <f>'Data Sheet'!F23/'Data Sheet'!F$17</f>
        <v>9.4051086087218794E-2</v>
      </c>
      <c r="H17" s="180">
        <f>'Data Sheet'!G23/'Data Sheet'!G$17</f>
        <v>9.088558487234677E-2</v>
      </c>
      <c r="I17" s="180">
        <f>'Data Sheet'!H23/'Data Sheet'!H$17</f>
        <v>8.6012775732401917E-2</v>
      </c>
      <c r="J17" s="180">
        <f>'Data Sheet'!I23/'Data Sheet'!I$17</f>
        <v>8.0112405832412942E-2</v>
      </c>
      <c r="K17" s="180">
        <f>'Data Sheet'!J23/'Data Sheet'!J$17</f>
        <v>7.9020821350771431E-2</v>
      </c>
      <c r="L17" s="180">
        <f>'Data Sheet'!K23/'Data Sheet'!K$17</f>
        <v>8.7187238150983642E-2</v>
      </c>
    </row>
    <row r="18" spans="1:12" x14ac:dyDescent="0.25">
      <c r="B18" s="176" t="str">
        <f>'Data Sheet'!A24</f>
        <v>Other Expenses</v>
      </c>
      <c r="C18" s="180">
        <f>'Data Sheet'!B24/'Data Sheet'!B$17</f>
        <v>2.578654022770863E-2</v>
      </c>
      <c r="D18" s="180">
        <f>'Data Sheet'!C24/'Data Sheet'!C$17</f>
        <v>3.1534161221266538E-2</v>
      </c>
      <c r="E18" s="180">
        <f>'Data Sheet'!D24/'Data Sheet'!D$17</f>
        <v>2.7339153938963141E-2</v>
      </c>
      <c r="F18" s="180">
        <f>'Data Sheet'!E24/'Data Sheet'!E$17</f>
        <v>2.3153154024010712E-2</v>
      </c>
      <c r="G18" s="180">
        <f>'Data Sheet'!F24/'Data Sheet'!F$17</f>
        <v>2.1511357773484997E-2</v>
      </c>
      <c r="H18" s="180">
        <f>'Data Sheet'!G24/'Data Sheet'!G$17</f>
        <v>2.4806378916207884E-2</v>
      </c>
      <c r="I18" s="180">
        <f>'Data Sheet'!H24/'Data Sheet'!H$17</f>
        <v>2.1811725941964111E-2</v>
      </c>
      <c r="J18" s="180">
        <f>'Data Sheet'!I24/'Data Sheet'!I$17</f>
        <v>1.8302554525106464E-2</v>
      </c>
      <c r="K18" s="180">
        <f>'Data Sheet'!J24/'Data Sheet'!J$17</f>
        <v>1.8451465001706874E-2</v>
      </c>
      <c r="L18" s="180">
        <f>'Data Sheet'!K24/'Data Sheet'!K$17</f>
        <v>2.0313627564726888E-2</v>
      </c>
    </row>
    <row r="19" spans="1:12" x14ac:dyDescent="0.25">
      <c r="B19" s="176" t="str">
        <f>'Data Sheet'!A25</f>
        <v>Other Income</v>
      </c>
      <c r="C19" s="180">
        <f>'Data Sheet'!B25/'Data Sheet'!B$17</f>
        <v>3.167027976036365E-2</v>
      </c>
      <c r="D19" s="180">
        <f>'Data Sheet'!C25/'Data Sheet'!C$17</f>
        <v>3.7842065110060448E-2</v>
      </c>
      <c r="E19" s="180">
        <f>'Data Sheet'!D25/'Data Sheet'!D$17</f>
        <v>4.1120614670919112E-2</v>
      </c>
      <c r="F19" s="180">
        <f>'Data Sheet'!E25/'Data Sheet'!E$17</f>
        <v>5.1550394555080051E-2</v>
      </c>
      <c r="G19" s="180">
        <f>'Data Sheet'!F25/'Data Sheet'!F$17</f>
        <v>4.3038023913323203E-2</v>
      </c>
      <c r="H19" s="180">
        <f>'Data Sheet'!G25/'Data Sheet'!G$17</f>
        <v>4.8945790146129507E-2</v>
      </c>
      <c r="I19" s="180">
        <f>'Data Sheet'!H25/'Data Sheet'!H$17</f>
        <v>5.2315944085615476E-2</v>
      </c>
      <c r="J19" s="180">
        <f>'Data Sheet'!I25/'Data Sheet'!I$17</f>
        <v>3.1490386438746173E-2</v>
      </c>
      <c r="K19" s="180">
        <f>'Data Sheet'!J25/'Data Sheet'!J$17</f>
        <v>2.957795672050224E-2</v>
      </c>
      <c r="L19" s="180">
        <f>'Data Sheet'!K25/'Data Sheet'!K$17</f>
        <v>3.9564266303465885E-2</v>
      </c>
    </row>
    <row r="20" spans="1:12" x14ac:dyDescent="0.25">
      <c r="B20" s="176" t="str">
        <f>'Data Sheet'!A26</f>
        <v>Depreciation</v>
      </c>
      <c r="C20" s="180">
        <f>'Data Sheet'!B26/'Data Sheet'!B$17</f>
        <v>2.6482109067770303E-2</v>
      </c>
      <c r="D20" s="180">
        <f>'Data Sheet'!C26/'Data Sheet'!C$17</f>
        <v>2.7490234001240049E-2</v>
      </c>
      <c r="E20" s="180">
        <f>'Data Sheet'!D26/'Data Sheet'!D$17</f>
        <v>2.6954750792656124E-2</v>
      </c>
      <c r="F20" s="180">
        <f>'Data Sheet'!E26/'Data Sheet'!E$17</f>
        <v>2.845362855802696E-2</v>
      </c>
      <c r="G20" s="180">
        <f>'Data Sheet'!F26/'Data Sheet'!F$17</f>
        <v>2.8891645314253867E-2</v>
      </c>
      <c r="H20" s="180">
        <f>'Data Sheet'!G26/'Data Sheet'!G$17</f>
        <v>3.3306066085280348E-2</v>
      </c>
      <c r="I20" s="180">
        <f>'Data Sheet'!H26/'Data Sheet'!H$17</f>
        <v>3.3407941336792708E-2</v>
      </c>
      <c r="J20" s="180">
        <f>'Data Sheet'!I26/'Data Sheet'!I$17</f>
        <v>2.8566627762367396E-2</v>
      </c>
      <c r="K20" s="180">
        <f>'Data Sheet'!J26/'Data Sheet'!J$17</f>
        <v>2.550810410125463E-2</v>
      </c>
      <c r="L20" s="180">
        <f>'Data Sheet'!K26/'Data Sheet'!K$17</f>
        <v>2.5631252802816348E-2</v>
      </c>
    </row>
    <row r="21" spans="1:12" x14ac:dyDescent="0.25">
      <c r="B21" s="176" t="str">
        <f>'Data Sheet'!A27</f>
        <v>Interest</v>
      </c>
      <c r="C21" s="180">
        <f>'Data Sheet'!B27/'Data Sheet'!B$17</f>
        <v>2.3432941367411051E-3</v>
      </c>
      <c r="D21" s="180">
        <f>'Data Sheet'!C27/'Data Sheet'!C$17</f>
        <v>1.9935139989946953E-3</v>
      </c>
      <c r="E21" s="180">
        <f>'Data Sheet'!D27/'Data Sheet'!D$17</f>
        <v>1.146428604831695E-3</v>
      </c>
      <c r="F21" s="180">
        <f>'Data Sheet'!E27/'Data Sheet'!E$17</f>
        <v>2.647015094039118E-3</v>
      </c>
      <c r="G21" s="180">
        <f>'Data Sheet'!F27/'Data Sheet'!F$17</f>
        <v>1.4770504832685763E-3</v>
      </c>
      <c r="H21" s="180">
        <f>'Data Sheet'!G27/'Data Sheet'!G$17</f>
        <v>1.647778697934911E-3</v>
      </c>
      <c r="I21" s="180">
        <f>'Data Sheet'!H27/'Data Sheet'!H$17</f>
        <v>1.1768778123918311E-3</v>
      </c>
      <c r="J21" s="180">
        <f>'Data Sheet'!I27/'Data Sheet'!I$17</f>
        <v>9.8920694262006107E-4</v>
      </c>
      <c r="K21" s="180">
        <f>'Data Sheet'!J27/'Data Sheet'!J$17</f>
        <v>1.0966027031108574E-3</v>
      </c>
      <c r="L21" s="180">
        <f>'Data Sheet'!K27/'Data Sheet'!K$17</f>
        <v>1.1297343078267756E-3</v>
      </c>
    </row>
    <row r="22" spans="1:12" x14ac:dyDescent="0.25">
      <c r="B22" s="176" t="str">
        <f>'Data Sheet'!A28</f>
        <v>Profit before tax</v>
      </c>
      <c r="C22" s="180">
        <f>'Data Sheet'!B28/'Data Sheet'!B$17</f>
        <v>0.36999238738547263</v>
      </c>
      <c r="D22" s="180">
        <f>'Data Sheet'!C28/'Data Sheet'!C$17</f>
        <v>0.37913431533395764</v>
      </c>
      <c r="E22" s="180">
        <f>'Data Sheet'!D28/'Data Sheet'!D$17</f>
        <v>0.37473040338948177</v>
      </c>
      <c r="F22" s="180">
        <f>'Data Sheet'!E28/'Data Sheet'!E$17</f>
        <v>0.40067974040333321</v>
      </c>
      <c r="G22" s="180">
        <f>'Data Sheet'!F28/'Data Sheet'!F$17</f>
        <v>0.39615197318636197</v>
      </c>
      <c r="H22" s="180">
        <f>'Data Sheet'!G28/'Data Sheet'!G$17</f>
        <v>0.40565910135519573</v>
      </c>
      <c r="I22" s="180">
        <f>'Data Sheet'!H28/'Data Sheet'!H$17</f>
        <v>0.36417171412649252</v>
      </c>
      <c r="J22" s="180">
        <f>'Data Sheet'!I28/'Data Sheet'!I$17</f>
        <v>0.34200061538928322</v>
      </c>
      <c r="K22" s="180">
        <f>'Data Sheet'!J28/'Data Sheet'!J$17</f>
        <v>0.36541842154355464</v>
      </c>
      <c r="L22" s="180">
        <f>'Data Sheet'!K28/'Data Sheet'!K$17</f>
        <v>0.38297343924933486</v>
      </c>
    </row>
    <row r="23" spans="1:12" x14ac:dyDescent="0.25">
      <c r="B23" s="176" t="str">
        <f>'Data Sheet'!A29</f>
        <v>Tax</v>
      </c>
      <c r="C23" s="180">
        <f>'Data Sheet'!B29/'Data Sheet'!B$17</f>
        <v>0.11841209362356588</v>
      </c>
      <c r="D23" s="180">
        <f>'Data Sheet'!C29/'Data Sheet'!C$17</f>
        <v>0.13671658318895902</v>
      </c>
      <c r="E23" s="180">
        <f>'Data Sheet'!D29/'Data Sheet'!D$17</f>
        <v>0.12974985736866226</v>
      </c>
      <c r="F23" s="180">
        <f>'Data Sheet'!E29/'Data Sheet'!E$17</f>
        <v>0.13616972013586523</v>
      </c>
      <c r="G23" s="180">
        <f>'Data Sheet'!F29/'Data Sheet'!F$17</f>
        <v>0.13061594660110823</v>
      </c>
      <c r="H23" s="180">
        <f>'Data Sheet'!G29/'Data Sheet'!G$17</f>
        <v>8.9937170591058102E-2</v>
      </c>
      <c r="I23" s="180">
        <f>'Data Sheet'!H29/'Data Sheet'!H$17</f>
        <v>9.2479208728831891E-2</v>
      </c>
      <c r="J23" s="180">
        <f>'Data Sheet'!I29/'Data Sheet'!I$17</f>
        <v>8.636127836075598E-2</v>
      </c>
      <c r="K23" s="180">
        <f>'Data Sheet'!J29/'Data Sheet'!J$17</f>
        <v>9.0785223655766301E-2</v>
      </c>
      <c r="L23" s="180">
        <f>'Data Sheet'!K29/'Data Sheet'!K$17</f>
        <v>9.0149015990975676E-2</v>
      </c>
    </row>
    <row r="24" spans="1:12" x14ac:dyDescent="0.25">
      <c r="B24" s="176" t="str">
        <f>'Data Sheet'!A30</f>
        <v>Net profit</v>
      </c>
      <c r="C24" s="180">
        <f>'Data Sheet'!B30/'Data Sheet'!B$17</f>
        <v>0.24894073882291717</v>
      </c>
      <c r="D24" s="180">
        <f>'Data Sheet'!C30/'Data Sheet'!C$17</f>
        <v>0.23842687684507849</v>
      </c>
      <c r="E24" s="180">
        <f>'Data Sheet'!D30/'Data Sheet'!D$17</f>
        <v>0.2405896052151629</v>
      </c>
      <c r="F24" s="180">
        <f>'Data Sheet'!E30/'Data Sheet'!E$17</f>
        <v>0.25941254263049918</v>
      </c>
      <c r="G24" s="180">
        <f>'Data Sheet'!F30/'Data Sheet'!F$17</f>
        <v>0.26049729848707825</v>
      </c>
      <c r="H24" s="180">
        <f>'Data Sheet'!G30/'Data Sheet'!G$17</f>
        <v>0.30991987883622846</v>
      </c>
      <c r="I24" s="180">
        <f>'Data Sheet'!H30/'Data Sheet'!H$17</f>
        <v>0.26719186640802561</v>
      </c>
      <c r="J24" s="180">
        <f>'Data Sheet'!I30/'Data Sheet'!I$17</f>
        <v>0.25134430898478244</v>
      </c>
      <c r="K24" s="180">
        <f>'Data Sheet'!J30/'Data Sheet'!J$17</f>
        <v>0.27061368436652333</v>
      </c>
      <c r="L24" s="180">
        <f>'Data Sheet'!K30/'Data Sheet'!K$17</f>
        <v>0.28869579892930647</v>
      </c>
    </row>
    <row r="25" spans="1:12" x14ac:dyDescent="0.25">
      <c r="B25" s="176" t="str">
        <f>'Data Sheet'!A31</f>
        <v>Dividend Amount</v>
      </c>
      <c r="C25" s="180">
        <f>'Data Sheet'!B31/'Data Sheet'!B$17</f>
        <v>0.12905867638402096</v>
      </c>
      <c r="D25" s="180">
        <f>'Data Sheet'!C31/'Data Sheet'!C$17</f>
        <v>0.17452802988357347</v>
      </c>
      <c r="E25" s="180">
        <f>'Data Sheet'!D31/'Data Sheet'!D$17</f>
        <v>0.13491568383542682</v>
      </c>
      <c r="F25" s="180">
        <f>'Data Sheet'!E31/'Data Sheet'!E$17</f>
        <v>0.14465738404665338</v>
      </c>
      <c r="G25" s="180">
        <f>'Data Sheet'!F31/'Data Sheet'!F$17</f>
        <v>0.14581632691057719</v>
      </c>
      <c r="H25" s="180">
        <f>'Data Sheet'!G31/'Data Sheet'!G$17</f>
        <v>0.25262524879676518</v>
      </c>
      <c r="I25" s="180">
        <f>'Data Sheet'!H31/'Data Sheet'!H$17</f>
        <v>0.26862860338892897</v>
      </c>
      <c r="J25" s="180">
        <f>'Data Sheet'!I31/'Data Sheet'!I$17</f>
        <v>0.23368633021208504</v>
      </c>
      <c r="K25" s="180">
        <f>'Data Sheet'!J31/'Data Sheet'!J$17</f>
        <v>0.27162526052598296</v>
      </c>
      <c r="L25" s="180">
        <f>'Data Sheet'!K31/'Data Sheet'!K$17</f>
        <v>0.24223755690652046</v>
      </c>
    </row>
    <row r="26" spans="1:12" x14ac:dyDescent="0.25">
      <c r="B26" s="176" t="str">
        <f>'Data Sheet'!A34</f>
        <v>EBITDA</v>
      </c>
      <c r="C26" s="180">
        <f>'Data Sheet'!B34/'Data Sheet'!B$17</f>
        <v>0.39617823565099441</v>
      </c>
      <c r="D26" s="180">
        <f>'Data Sheet'!C34/'Data Sheet'!C$17</f>
        <v>0.40462720803427221</v>
      </c>
      <c r="E26" s="180">
        <f>'Data Sheet'!D34/'Data Sheet'!D$17</f>
        <v>0.39844064198131302</v>
      </c>
      <c r="F26" s="180">
        <f>'Data Sheet'!E34/'Data Sheet'!E$17</f>
        <v>0.42668290641843037</v>
      </c>
      <c r="G26" s="180">
        <f>'Data Sheet'!F34/'Data Sheet'!F$17</f>
        <v>0.42148194088570901</v>
      </c>
      <c r="H26" s="180">
        <f>'Data Sheet'!G34/'Data Sheet'!G$17</f>
        <v>0.43481089421050184</v>
      </c>
      <c r="I26" s="180">
        <f>'Data Sheet'!H34/'Data Sheet'!H$17</f>
        <v>0.39425589428604207</v>
      </c>
      <c r="J26" s="180">
        <f>'Data Sheet'!I34/'Data Sheet'!I$17</f>
        <v>0.36726142205052592</v>
      </c>
      <c r="K26" s="180">
        <f>'Data Sheet'!J34/'Data Sheet'!J$17</f>
        <v>0.38800361482665507</v>
      </c>
      <c r="L26" s="180">
        <f>'Data Sheet'!K34/'Data Sheet'!K$17</f>
        <v>0.40560580203092533</v>
      </c>
    </row>
    <row r="27" spans="1:12" x14ac:dyDescent="0.25">
      <c r="C27" s="178"/>
    </row>
    <row r="29" spans="1:12" x14ac:dyDescent="0.25">
      <c r="A29" t="s">
        <v>94</v>
      </c>
      <c r="B29" s="185" t="str">
        <f>"Common Size Balance Sheet"&amp;""&amp;" - "&amp;'Data Sheet'!$B$1</f>
        <v>Common Size Balance Sheet - ITC LTD</v>
      </c>
      <c r="C29" s="185"/>
      <c r="D29" s="185"/>
      <c r="E29" s="185"/>
      <c r="F29" s="185"/>
      <c r="G29" s="185"/>
      <c r="H29" s="185"/>
      <c r="I29" s="185"/>
      <c r="J29" s="185"/>
      <c r="K29" s="185"/>
      <c r="L29" s="185"/>
    </row>
    <row r="31" spans="1:12" x14ac:dyDescent="0.25">
      <c r="B31" s="174" t="s">
        <v>323</v>
      </c>
      <c r="C31" s="175">
        <f>'Data Sheet'!B$16</f>
        <v>42094</v>
      </c>
      <c r="D31" s="175">
        <f>'Data Sheet'!C$16</f>
        <v>42460</v>
      </c>
      <c r="E31" s="175">
        <f>'Data Sheet'!D$16</f>
        <v>42825</v>
      </c>
      <c r="F31" s="175">
        <f>'Data Sheet'!E$16</f>
        <v>43190</v>
      </c>
      <c r="G31" s="175">
        <f>'Data Sheet'!F$16</f>
        <v>43555</v>
      </c>
      <c r="H31" s="175">
        <f>'Data Sheet'!G$16</f>
        <v>43921</v>
      </c>
      <c r="I31" s="175">
        <f>'Data Sheet'!H$16</f>
        <v>44286</v>
      </c>
      <c r="J31" s="175">
        <f>'Data Sheet'!I$16</f>
        <v>44651</v>
      </c>
      <c r="K31" s="175">
        <f>'Data Sheet'!J$16</f>
        <v>45016</v>
      </c>
      <c r="L31" s="175">
        <f>'Data Sheet'!K$16</f>
        <v>45382</v>
      </c>
    </row>
    <row r="33" spans="2:12" x14ac:dyDescent="0.25">
      <c r="B33" s="37" t="s">
        <v>324</v>
      </c>
      <c r="C33" s="179">
        <f>'Data Sheet'!B61/'Data Sheet'!B$61</f>
        <v>1</v>
      </c>
      <c r="D33" s="179">
        <f>'Data Sheet'!C61/'Data Sheet'!C$61</f>
        <v>1</v>
      </c>
      <c r="E33" s="179">
        <f>'Data Sheet'!D61/'Data Sheet'!D$61</f>
        <v>1</v>
      </c>
      <c r="F33" s="179">
        <f>'Data Sheet'!E61/'Data Sheet'!E$61</f>
        <v>1</v>
      </c>
      <c r="G33" s="179">
        <f>'Data Sheet'!F61/'Data Sheet'!F$61</f>
        <v>1</v>
      </c>
      <c r="H33" s="179">
        <f>'Data Sheet'!G61/'Data Sheet'!G$61</f>
        <v>1</v>
      </c>
      <c r="I33" s="179">
        <f>'Data Sheet'!H61/'Data Sheet'!H$61</f>
        <v>1</v>
      </c>
      <c r="J33" s="179">
        <f>'Data Sheet'!I61/'Data Sheet'!I$61</f>
        <v>1</v>
      </c>
      <c r="K33" s="179">
        <f>'Data Sheet'!J61/'Data Sheet'!J$61</f>
        <v>1</v>
      </c>
      <c r="L33" s="179">
        <f>'Data Sheet'!K61/'Data Sheet'!K$61</f>
        <v>1</v>
      </c>
    </row>
    <row r="34" spans="2:12" x14ac:dyDescent="0.25">
      <c r="B34" s="176" t="str">
        <f>'Data Sheet'!A57</f>
        <v>Equity Share Capital</v>
      </c>
      <c r="C34" s="11">
        <f>'Data Sheet'!B57/'Data Sheet'!B$61</f>
        <v>1.7443118090921396E-2</v>
      </c>
      <c r="D34" s="11">
        <f>'Data Sheet'!C57/'Data Sheet'!C$61</f>
        <v>1.5579847492824001E-2</v>
      </c>
      <c r="E34" s="11">
        <f>'Data Sheet'!D57/'Data Sheet'!D$61</f>
        <v>2.1731243443452324E-2</v>
      </c>
      <c r="F34" s="11">
        <f>'Data Sheet'!E57/'Data Sheet'!E$61</f>
        <v>1.8997716096043518E-2</v>
      </c>
      <c r="G34" s="11">
        <f>'Data Sheet'!F57/'Data Sheet'!F$61</f>
        <v>1.7087766995488092E-2</v>
      </c>
      <c r="H34" s="11">
        <f>'Data Sheet'!G57/'Data Sheet'!G$61</f>
        <v>1.5899729339063456E-2</v>
      </c>
      <c r="I34" s="11">
        <f>'Data Sheet'!H57/'Data Sheet'!H$61</f>
        <v>1.6687463632424616E-2</v>
      </c>
      <c r="J34" s="11">
        <f>'Data Sheet'!I57/'Data Sheet'!I$61</f>
        <v>1.5963646830497218E-2</v>
      </c>
      <c r="K34" s="11">
        <f>'Data Sheet'!J57/'Data Sheet'!J$61</f>
        <v>1.447962366959428E-2</v>
      </c>
      <c r="L34" s="11">
        <f>'Data Sheet'!K57/'Data Sheet'!K$61</f>
        <v>1.3606713693151371E-2</v>
      </c>
    </row>
    <row r="35" spans="2:12" x14ac:dyDescent="0.25">
      <c r="B35" s="176" t="str">
        <f>'Data Sheet'!A58</f>
        <v>Reserves</v>
      </c>
      <c r="C35" s="11">
        <f>'Data Sheet'!B58/'Data Sheet'!B$61</f>
        <v>0.67317618169481253</v>
      </c>
      <c r="D35" s="11">
        <f>'Data Sheet'!C58/'Data Sheet'!C$61</f>
        <v>0.81072049631239007</v>
      </c>
      <c r="E35" s="11">
        <f>'Data Sheet'!D58/'Data Sheet'!D$61</f>
        <v>0.80857868358118823</v>
      </c>
      <c r="F35" s="11">
        <f>'Data Sheet'!E58/'Data Sheet'!E$61</f>
        <v>0.79839628597864787</v>
      </c>
      <c r="G35" s="11">
        <f>'Data Sheet'!F58/'Data Sheet'!F$61</f>
        <v>0.80730115708267081</v>
      </c>
      <c r="H35" s="11">
        <f>'Data Sheet'!G58/'Data Sheet'!G$61</f>
        <v>0.82839760317937672</v>
      </c>
      <c r="I35" s="11">
        <f>'Data Sheet'!H58/'Data Sheet'!H$61</f>
        <v>0.80146218666944324</v>
      </c>
      <c r="J35" s="11">
        <f>'Data Sheet'!I58/'Data Sheet'!I$61</f>
        <v>0.79308803744027212</v>
      </c>
      <c r="K35" s="11">
        <f>'Data Sheet'!J58/'Data Sheet'!J$61</f>
        <v>0.79123500424555426</v>
      </c>
      <c r="L35" s="11">
        <f>'Data Sheet'!K58/'Data Sheet'!K$61</f>
        <v>0.79842354505205604</v>
      </c>
    </row>
    <row r="36" spans="2:12" x14ac:dyDescent="0.25">
      <c r="B36" s="176" t="str">
        <f>'Data Sheet'!A59</f>
        <v>Borrowings</v>
      </c>
      <c r="C36" s="11">
        <f>'Data Sheet'!B59/'Data Sheet'!B$61</f>
        <v>5.8495541673503479E-3</v>
      </c>
      <c r="D36" s="11">
        <f>'Data Sheet'!C59/'Data Sheet'!C$61</f>
        <v>1.6220295543155319E-3</v>
      </c>
      <c r="E36" s="11">
        <f>'Data Sheet'!D59/'Data Sheet'!D$61</f>
        <v>8.1791366896178633E-4</v>
      </c>
      <c r="F36" s="11">
        <f>'Data Sheet'!E59/'Data Sheet'!E$61</f>
        <v>5.5914551606391452E-4</v>
      </c>
      <c r="G36" s="11">
        <f>'Data Sheet'!F59/'Data Sheet'!F$61</f>
        <v>1.8734569071456771E-4</v>
      </c>
      <c r="H36" s="11">
        <f>'Data Sheet'!G59/'Data Sheet'!G$61</f>
        <v>3.5887635290046986E-3</v>
      </c>
      <c r="I36" s="11">
        <f>'Data Sheet'!H59/'Data Sheet'!H$61</f>
        <v>3.6717354864564847E-3</v>
      </c>
      <c r="J36" s="11">
        <f>'Data Sheet'!I59/'Data Sheet'!I$61</f>
        <v>3.2312546683106198E-3</v>
      </c>
      <c r="K36" s="11">
        <f>'Data Sheet'!J59/'Data Sheet'!J$61</f>
        <v>3.5656131540413856E-3</v>
      </c>
      <c r="L36" s="11">
        <f>'Data Sheet'!K59/'Data Sheet'!K$61</f>
        <v>3.3069958716772691E-3</v>
      </c>
    </row>
    <row r="37" spans="2:12" x14ac:dyDescent="0.25">
      <c r="B37" s="176" t="str">
        <f>'Data Sheet'!A60</f>
        <v>Other Liabilities</v>
      </c>
      <c r="C37" s="11">
        <f>'Data Sheet'!B60/'Data Sheet'!B$61</f>
        <v>0.30353114604691567</v>
      </c>
      <c r="D37" s="11">
        <f>'Data Sheet'!C60/'Data Sheet'!C$61</f>
        <v>0.17207762664047055</v>
      </c>
      <c r="E37" s="11">
        <f>'Data Sheet'!D60/'Data Sheet'!D$61</f>
        <v>0.16887215930639776</v>
      </c>
      <c r="F37" s="11">
        <f>'Data Sheet'!E60/'Data Sheet'!E$61</f>
        <v>0.18204685240924473</v>
      </c>
      <c r="G37" s="11">
        <f>'Data Sheet'!F60/'Data Sheet'!F$61</f>
        <v>0.17542373023112662</v>
      </c>
      <c r="H37" s="11">
        <f>'Data Sheet'!G60/'Data Sheet'!G$61</f>
        <v>0.15211390395255511</v>
      </c>
      <c r="I37" s="11">
        <f>'Data Sheet'!H60/'Data Sheet'!H$61</f>
        <v>0.17817861421167572</v>
      </c>
      <c r="J37" s="11">
        <f>'Data Sheet'!I60/'Data Sheet'!I$61</f>
        <v>0.18771706106091998</v>
      </c>
      <c r="K37" s="11">
        <f>'Data Sheet'!J60/'Data Sheet'!J$61</f>
        <v>0.19071975893081003</v>
      </c>
      <c r="L37" s="11">
        <f>'Data Sheet'!K60/'Data Sheet'!K$61</f>
        <v>0.18466274538311531</v>
      </c>
    </row>
    <row r="38" spans="2:12" x14ac:dyDescent="0.25">
      <c r="B38" s="176"/>
    </row>
    <row r="39" spans="2:12" x14ac:dyDescent="0.25">
      <c r="B39" s="177" t="s">
        <v>178</v>
      </c>
      <c r="C39" s="179">
        <f>'Data Sheet'!B76/'Data Sheet'!B$76</f>
        <v>1</v>
      </c>
      <c r="D39" s="179">
        <f>'Data Sheet'!C76/'Data Sheet'!C$76</f>
        <v>1</v>
      </c>
      <c r="E39" s="179">
        <f>'Data Sheet'!D76/'Data Sheet'!D$76</f>
        <v>1</v>
      </c>
      <c r="F39" s="179">
        <f>'Data Sheet'!E76/'Data Sheet'!E$76</f>
        <v>1</v>
      </c>
      <c r="G39" s="179">
        <f>'Data Sheet'!F76/'Data Sheet'!F$76</f>
        <v>1</v>
      </c>
      <c r="H39" s="179">
        <f>'Data Sheet'!G76/'Data Sheet'!G$76</f>
        <v>1</v>
      </c>
      <c r="I39" s="179">
        <f>'Data Sheet'!H76/'Data Sheet'!H$76</f>
        <v>1</v>
      </c>
      <c r="J39" s="179">
        <f>'Data Sheet'!I76/'Data Sheet'!I$76</f>
        <v>1</v>
      </c>
      <c r="K39" s="179">
        <f>'Data Sheet'!J76/'Data Sheet'!J$76</f>
        <v>1</v>
      </c>
      <c r="L39" s="179">
        <f>'Data Sheet'!K76/'Data Sheet'!K$76</f>
        <v>1</v>
      </c>
    </row>
    <row r="40" spans="2:12" x14ac:dyDescent="0.25">
      <c r="B40" s="176" t="str">
        <f>'Data Sheet'!A62</f>
        <v>Net Block</v>
      </c>
      <c r="C40" s="11">
        <f>'Data Sheet'!B62/'Data Sheet'!B$76</f>
        <v>0.33302591256744507</v>
      </c>
      <c r="D40" s="11">
        <f>'Data Sheet'!C62/'Data Sheet'!C$76</f>
        <v>0.29247314784088851</v>
      </c>
      <c r="E40" s="11">
        <f>'Data Sheet'!D62/'Data Sheet'!D$76</f>
        <v>0.2843284019984858</v>
      </c>
      <c r="F40" s="11">
        <f>'Data Sheet'!E62/'Data Sheet'!E$76</f>
        <v>0.25721876786245768</v>
      </c>
      <c r="G40" s="11">
        <f>'Data Sheet'!F62/'Data Sheet'!F$76</f>
        <v>0.27006480711199921</v>
      </c>
      <c r="H40" s="11">
        <f>'Data Sheet'!G62/'Data Sheet'!G$76</f>
        <v>0.28085796606552127</v>
      </c>
      <c r="I40" s="11">
        <f>'Data Sheet'!H62/'Data Sheet'!H$76</f>
        <v>0.3158655089779443</v>
      </c>
      <c r="J40" s="11">
        <f>'Data Sheet'!I62/'Data Sheet'!I$76</f>
        <v>0.31389688224859258</v>
      </c>
      <c r="K40" s="11">
        <f>'Data Sheet'!J62/'Data Sheet'!J$76</f>
        <v>0.30118817265937609</v>
      </c>
      <c r="L40" s="11">
        <f>'Data Sheet'!K62/'Data Sheet'!K$76</f>
        <v>0.30320453708978468</v>
      </c>
    </row>
    <row r="41" spans="2:12" x14ac:dyDescent="0.25">
      <c r="B41" s="176" t="str">
        <f>'Data Sheet'!A63</f>
        <v>Capital Work in Progress</v>
      </c>
      <c r="C41" s="11">
        <f>'Data Sheet'!B63/'Data Sheet'!B$76</f>
        <v>5.8761034831396608E-2</v>
      </c>
      <c r="D41" s="11">
        <f>'Data Sheet'!C63/'Data Sheet'!C$76</f>
        <v>4.955766878458525E-2</v>
      </c>
      <c r="E41" s="11">
        <f>'Data Sheet'!D63/'Data Sheet'!D$76</f>
        <v>6.6726334530268522E-2</v>
      </c>
      <c r="F41" s="11">
        <f>'Data Sheet'!E63/'Data Sheet'!E$76</f>
        <v>8.5744933755577443E-2</v>
      </c>
      <c r="G41" s="11">
        <f>'Data Sheet'!F63/'Data Sheet'!F$76</f>
        <v>5.7659260564401189E-2</v>
      </c>
      <c r="H41" s="11">
        <f>'Data Sheet'!G63/'Data Sheet'!G$76</f>
        <v>4.2121697176653962E-2</v>
      </c>
      <c r="I41" s="11">
        <f>'Data Sheet'!H63/'Data Sheet'!H$76</f>
        <v>5.4382438575741349E-2</v>
      </c>
      <c r="J41" s="11">
        <f>'Data Sheet'!I63/'Data Sheet'!I$76</f>
        <v>4.1783760354484591E-2</v>
      </c>
      <c r="K41" s="11">
        <f>'Data Sheet'!J63/'Data Sheet'!J$76</f>
        <v>3.4990870427174532E-2</v>
      </c>
      <c r="L41" s="11">
        <f>'Data Sheet'!K63/'Data Sheet'!K$76</f>
        <v>3.1178814388085868E-2</v>
      </c>
    </row>
    <row r="42" spans="2:12" x14ac:dyDescent="0.25">
      <c r="B42" s="176" t="str">
        <f>'Data Sheet'!A64</f>
        <v>Investments</v>
      </c>
      <c r="C42" s="11">
        <f>'Data Sheet'!B64/'Data Sheet'!B$76</f>
        <v>0.15108671572341881</v>
      </c>
      <c r="D42" s="11">
        <f>'Data Sheet'!C64/'Data Sheet'!C$76</f>
        <v>0.22744017870591546</v>
      </c>
      <c r="E42" s="11">
        <f>'Data Sheet'!D64/'Data Sheet'!D$76</f>
        <v>0.31452430055142983</v>
      </c>
      <c r="F42" s="11">
        <f>'Data Sheet'!E64/'Data Sheet'!E$76</f>
        <v>0.34328390271117087</v>
      </c>
      <c r="G42" s="11">
        <f>'Data Sheet'!F64/'Data Sheet'!F$76</f>
        <v>0.34909151279414946</v>
      </c>
      <c r="H42" s="11">
        <f>'Data Sheet'!G64/'Data Sheet'!G$76</f>
        <v>0.37075503730076348</v>
      </c>
      <c r="I42" s="11">
        <f>'Data Sheet'!H64/'Data Sheet'!H$76</f>
        <v>0.33718294117359954</v>
      </c>
      <c r="J42" s="11">
        <f>'Data Sheet'!I64/'Data Sheet'!I$76</f>
        <v>0.3217913306929554</v>
      </c>
      <c r="K42" s="11">
        <f>'Data Sheet'!J64/'Data Sheet'!J$76</f>
        <v>0.34270873819889702</v>
      </c>
      <c r="L42" s="11">
        <f>'Data Sheet'!K64/'Data Sheet'!K$76</f>
        <v>0.33910271130502573</v>
      </c>
    </row>
    <row r="43" spans="2:12" x14ac:dyDescent="0.25">
      <c r="B43" s="176" t="str">
        <f>'Data Sheet'!A65</f>
        <v>Other Assets</v>
      </c>
      <c r="C43" s="11">
        <f>'Data Sheet'!B75/'Data Sheet'!B$76</f>
        <v>5.5292432008725613E-2</v>
      </c>
      <c r="D43" s="11">
        <f>'Data Sheet'!C75/'Data Sheet'!C$76</f>
        <v>0.10057473823525197</v>
      </c>
      <c r="E43" s="11">
        <f>'Data Sheet'!D75/'Data Sheet'!D$76</f>
        <v>9.1877179850843468E-2</v>
      </c>
      <c r="F43" s="11">
        <f>'Data Sheet'!E75/'Data Sheet'!E$76</f>
        <v>0.11019073835850315</v>
      </c>
      <c r="G43" s="11">
        <f>'Data Sheet'!F75/'Data Sheet'!F$76</f>
        <v>9.9500495127896868E-2</v>
      </c>
      <c r="H43" s="11">
        <f>'Data Sheet'!G75/'Data Sheet'!G$76</f>
        <v>6.4136617482044828E-2</v>
      </c>
      <c r="I43" s="11">
        <f>'Data Sheet'!H75/'Data Sheet'!H$76</f>
        <v>5.4530891492983499E-2</v>
      </c>
      <c r="J43" s="11">
        <f>'Data Sheet'!I75/'Data Sheet'!I$76</f>
        <v>8.9608376183124464E-2</v>
      </c>
      <c r="K43" s="11">
        <f>'Data Sheet'!J75/'Data Sheet'!J$76</f>
        <v>9.266877592887228E-2</v>
      </c>
      <c r="L43" s="11">
        <f>'Data Sheet'!K75/'Data Sheet'!K$76</f>
        <v>4.972613174122055E-2</v>
      </c>
    </row>
    <row r="44" spans="2:12" x14ac:dyDescent="0.25">
      <c r="B44" s="176" t="str">
        <f>'Data Sheet'!A67</f>
        <v>Receivables</v>
      </c>
      <c r="C44" s="11">
        <f>'Data Sheet'!B67/'Data Sheet'!B$76</f>
        <v>4.3133280611905148E-2</v>
      </c>
      <c r="D44" s="11">
        <f>'Data Sheet'!C67/'Data Sheet'!C$76</f>
        <v>3.7117720469594787E-2</v>
      </c>
      <c r="E44" s="11">
        <f>'Data Sheet'!D67/'Data Sheet'!D$76</f>
        <v>4.4264120996838546E-2</v>
      </c>
      <c r="F44" s="11">
        <f>'Data Sheet'!E67/'Data Sheet'!E$76</f>
        <v>4.1753631021243798E-2</v>
      </c>
      <c r="G44" s="11">
        <f>'Data Sheet'!F67/'Data Sheet'!F$76</f>
        <v>5.6249428484128026E-2</v>
      </c>
      <c r="H44" s="11">
        <f>'Data Sheet'!G67/'Data Sheet'!G$76</f>
        <v>3.3145196495959491E-2</v>
      </c>
      <c r="I44" s="11">
        <f>'Data Sheet'!H67/'Data Sheet'!H$76</f>
        <v>3.3916407585822046E-2</v>
      </c>
      <c r="J44" s="11">
        <f>'Data Sheet'!I67/'Data Sheet'!I$76</f>
        <v>3.1891540522425897E-2</v>
      </c>
      <c r="K44" s="11">
        <f>'Data Sheet'!J67/'Data Sheet'!J$76</f>
        <v>3.4441767865581376E-2</v>
      </c>
      <c r="L44" s="11">
        <f>'Data Sheet'!K67/'Data Sheet'!K$76</f>
        <v>4.3876248624446425E-2</v>
      </c>
    </row>
    <row r="45" spans="2:12" x14ac:dyDescent="0.25">
      <c r="B45" s="176" t="str">
        <f>'Data Sheet'!A68</f>
        <v>Inventory</v>
      </c>
      <c r="C45" s="11">
        <f>'Data Sheet'!B68/'Data Sheet'!B$76</f>
        <v>0.18686518300965657</v>
      </c>
      <c r="D45" s="11">
        <f>'Data Sheet'!C68/'Data Sheet'!C$76</f>
        <v>0.17544752953166365</v>
      </c>
      <c r="E45" s="11">
        <f>'Data Sheet'!D68/'Data Sheet'!D$76</f>
        <v>0.14519398794096139</v>
      </c>
      <c r="F45" s="11">
        <f>'Data Sheet'!E68/'Data Sheet'!E$76</f>
        <v>0.11667165829608811</v>
      </c>
      <c r="G45" s="11">
        <f>'Data Sheet'!F68/'Data Sheet'!F$76</f>
        <v>0.10955764113932943</v>
      </c>
      <c r="H45" s="11">
        <f>'Data Sheet'!G68/'Data Sheet'!G$76</f>
        <v>0.11485246230310792</v>
      </c>
      <c r="I45" s="11">
        <f>'Data Sheet'!H68/'Data Sheet'!H$76</f>
        <v>0.14095787516289146</v>
      </c>
      <c r="J45" s="11">
        <f>'Data Sheet'!I68/'Data Sheet'!I$76</f>
        <v>0.14073458709399783</v>
      </c>
      <c r="K45" s="11">
        <f>'Data Sheet'!J68/'Data Sheet'!J$76</f>
        <v>0.13714352024024898</v>
      </c>
      <c r="L45" s="11">
        <f>'Data Sheet'!K68/'Data Sheet'!K$76</f>
        <v>0.15424814860871955</v>
      </c>
    </row>
    <row r="46" spans="2:12" x14ac:dyDescent="0.25">
      <c r="B46" s="176" t="str">
        <f>'Data Sheet'!A69</f>
        <v>Cash &amp; Bank</v>
      </c>
      <c r="C46" s="11">
        <f>'Data Sheet'!B69/'Data Sheet'!B$76</f>
        <v>0.17183544124745226</v>
      </c>
      <c r="D46" s="11">
        <f>'Data Sheet'!C69/'Data Sheet'!C$76</f>
        <v>0.1173890164321003</v>
      </c>
      <c r="E46" s="11">
        <f>'Data Sheet'!D69/'Data Sheet'!D$76</f>
        <v>5.3085674131172461E-2</v>
      </c>
      <c r="F46" s="11">
        <f>'Data Sheet'!E69/'Data Sheet'!E$76</f>
        <v>4.5136367994958973E-2</v>
      </c>
      <c r="G46" s="11">
        <f>'Data Sheet'!F69/'Data Sheet'!F$76</f>
        <v>5.7876854778095711E-2</v>
      </c>
      <c r="H46" s="11">
        <f>'Data Sheet'!G69/'Data Sheet'!G$76</f>
        <v>9.4131023175949013E-2</v>
      </c>
      <c r="I46" s="11">
        <f>'Data Sheet'!H69/'Data Sheet'!H$76</f>
        <v>6.3163937031017581E-2</v>
      </c>
      <c r="J46" s="11">
        <f>'Data Sheet'!I69/'Data Sheet'!I$76</f>
        <v>6.0293522904419167E-2</v>
      </c>
      <c r="K46" s="11">
        <f>'Data Sheet'!J69/'Data Sheet'!J$76</f>
        <v>5.6858154679849789E-2</v>
      </c>
      <c r="L46" s="11">
        <f>'Data Sheet'!K69/'Data Sheet'!K$76</f>
        <v>7.8663408242716892E-2</v>
      </c>
    </row>
  </sheetData>
  <mergeCells count="2">
    <mergeCell ref="B7:L7"/>
    <mergeCell ref="B29:L29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"/>
  <sheetViews>
    <sheetView workbookViewId="0">
      <selection activeCell="E76" sqref="E76"/>
    </sheetView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3"/>
  <sheetViews>
    <sheetView topLeftCell="A43" workbookViewId="0">
      <pane xSplit="1" topLeftCell="B1" activePane="topRight" state="frozen"/>
      <selection activeCell="E76" sqref="E76"/>
      <selection pane="topRight" activeCell="B6" sqref="B6"/>
    </sheetView>
  </sheetViews>
  <sheetFormatPr defaultColWidth="10.42578125" defaultRowHeight="12.75" x14ac:dyDescent="0.2"/>
  <cols>
    <col min="1" max="1" width="26.7109375" style="63" bestFit="1" customWidth="1"/>
    <col min="2" max="11" width="11.42578125" style="63" bestFit="1" customWidth="1"/>
    <col min="12" max="16384" width="10.42578125" style="63"/>
  </cols>
  <sheetData>
    <row r="1" spans="1:11" s="62" customFormat="1" x14ac:dyDescent="0.2">
      <c r="A1" s="62" t="s">
        <v>95</v>
      </c>
      <c r="B1" s="62" t="s">
        <v>96</v>
      </c>
      <c r="E1" s="188" t="str">
        <f>IF(B2&lt;&gt;B3, "A NEW VERSION OF THE WORKSHEET IS AVAILABLE", "")</f>
        <v/>
      </c>
      <c r="F1" s="188"/>
      <c r="G1" s="188"/>
      <c r="H1" s="188"/>
      <c r="I1" s="188"/>
      <c r="J1" s="188"/>
      <c r="K1" s="188"/>
    </row>
    <row r="2" spans="1:11" x14ac:dyDescent="0.2">
      <c r="A2" s="62" t="s">
        <v>97</v>
      </c>
      <c r="B2" s="63">
        <v>2.1</v>
      </c>
      <c r="E2" s="189" t="s">
        <v>98</v>
      </c>
      <c r="F2" s="189"/>
      <c r="G2" s="189"/>
      <c r="H2" s="189"/>
      <c r="I2" s="189"/>
      <c r="J2" s="189"/>
      <c r="K2" s="189"/>
    </row>
    <row r="3" spans="1:11" x14ac:dyDescent="0.2">
      <c r="A3" s="62" t="s">
        <v>99</v>
      </c>
      <c r="B3" s="63">
        <v>2.1</v>
      </c>
    </row>
    <row r="4" spans="1:11" x14ac:dyDescent="0.2">
      <c r="A4" s="62"/>
    </row>
    <row r="5" spans="1:11" x14ac:dyDescent="0.2">
      <c r="A5" s="62" t="s">
        <v>100</v>
      </c>
    </row>
    <row r="6" spans="1:11" x14ac:dyDescent="0.2">
      <c r="A6" s="63" t="s">
        <v>101</v>
      </c>
      <c r="B6" s="63">
        <f>IF(B9&gt;0, B9/B8, 0)</f>
        <v>1250.7598739068537</v>
      </c>
    </row>
    <row r="7" spans="1:11" x14ac:dyDescent="0.2">
      <c r="A7" s="63" t="s">
        <v>102</v>
      </c>
      <c r="B7" s="64">
        <v>1</v>
      </c>
    </row>
    <row r="8" spans="1:11" x14ac:dyDescent="0.2">
      <c r="A8" s="63" t="s">
        <v>103</v>
      </c>
      <c r="B8" s="64">
        <v>491.7</v>
      </c>
    </row>
    <row r="9" spans="1:11" x14ac:dyDescent="0.2">
      <c r="A9" s="63" t="s">
        <v>30</v>
      </c>
      <c r="B9" s="64">
        <v>614998.63</v>
      </c>
    </row>
    <row r="15" spans="1:11" x14ac:dyDescent="0.2">
      <c r="A15" s="62" t="s">
        <v>104</v>
      </c>
      <c r="B15" s="63">
        <f>B26+B34</f>
        <v>16406.469999999998</v>
      </c>
      <c r="K15" s="63">
        <f>K17-K18-K20-K21-K22-K23-K19</f>
        <v>26494.730000000003</v>
      </c>
    </row>
    <row r="16" spans="1:11" s="67" customFormat="1" x14ac:dyDescent="0.2">
      <c r="A16" s="65" t="s">
        <v>105</v>
      </c>
      <c r="B16" s="66">
        <v>42094</v>
      </c>
      <c r="C16" s="66">
        <v>42460</v>
      </c>
      <c r="D16" s="66">
        <v>42825</v>
      </c>
      <c r="E16" s="66">
        <v>43190</v>
      </c>
      <c r="F16" s="66">
        <v>43555</v>
      </c>
      <c r="G16" s="66">
        <v>43921</v>
      </c>
      <c r="H16" s="66">
        <v>44286</v>
      </c>
      <c r="I16" s="66">
        <v>44651</v>
      </c>
      <c r="J16" s="66">
        <v>45016</v>
      </c>
      <c r="K16" s="66">
        <v>45382</v>
      </c>
    </row>
    <row r="17" spans="1:11" x14ac:dyDescent="0.2">
      <c r="A17" s="63" t="s">
        <v>106</v>
      </c>
      <c r="B17" s="64">
        <v>38817.15</v>
      </c>
      <c r="C17" s="64">
        <v>39192.1</v>
      </c>
      <c r="D17" s="64">
        <v>42767.6</v>
      </c>
      <c r="E17" s="64">
        <v>43448.94</v>
      </c>
      <c r="F17" s="64">
        <v>48339.58</v>
      </c>
      <c r="G17" s="64">
        <v>49387.7</v>
      </c>
      <c r="H17" s="64">
        <v>49257.45</v>
      </c>
      <c r="I17" s="64">
        <v>60644.54</v>
      </c>
      <c r="J17" s="64">
        <v>70919.03</v>
      </c>
      <c r="K17" s="64">
        <v>70866.22</v>
      </c>
    </row>
    <row r="18" spans="1:11" ht="15" x14ac:dyDescent="0.25">
      <c r="A18" s="63" t="s">
        <v>107</v>
      </c>
      <c r="B18" s="68">
        <v>15007.9</v>
      </c>
      <c r="C18" s="68">
        <v>13763.88</v>
      </c>
      <c r="D18" s="68">
        <v>15456.59</v>
      </c>
      <c r="E18" s="68">
        <v>14827.72</v>
      </c>
      <c r="F18" s="68">
        <v>17623.52</v>
      </c>
      <c r="G18" s="68">
        <v>18048.599999999999</v>
      </c>
      <c r="H18" s="68">
        <v>20776.71</v>
      </c>
      <c r="I18" s="68">
        <v>27071.07</v>
      </c>
      <c r="J18" s="68">
        <v>29364.36</v>
      </c>
      <c r="K18" s="68">
        <v>27835.9</v>
      </c>
    </row>
    <row r="19" spans="1:11" ht="15" x14ac:dyDescent="0.25">
      <c r="A19" s="63" t="s">
        <v>108</v>
      </c>
      <c r="B19" s="68">
        <v>235.72</v>
      </c>
      <c r="C19" s="68">
        <v>195.38</v>
      </c>
      <c r="D19" s="68">
        <v>-592.57000000000005</v>
      </c>
      <c r="E19" s="68">
        <v>-1027.76</v>
      </c>
      <c r="F19" s="68">
        <v>203.19</v>
      </c>
      <c r="G19" s="68">
        <v>703.13</v>
      </c>
      <c r="H19" s="68">
        <v>645.27</v>
      </c>
      <c r="I19" s="68">
        <v>686</v>
      </c>
      <c r="J19" s="68">
        <v>358.59</v>
      </c>
      <c r="K19" s="68">
        <v>588.69000000000005</v>
      </c>
    </row>
    <row r="20" spans="1:11" x14ac:dyDescent="0.2">
      <c r="A20" s="63" t="s">
        <v>109</v>
      </c>
      <c r="B20" s="64">
        <v>610.66999999999996</v>
      </c>
      <c r="C20" s="64">
        <v>571.88</v>
      </c>
      <c r="D20" s="64">
        <v>584.33000000000004</v>
      </c>
      <c r="E20" s="64">
        <v>653.5</v>
      </c>
      <c r="F20" s="64">
        <v>746.73</v>
      </c>
      <c r="G20" s="64">
        <v>780.85</v>
      </c>
      <c r="H20" s="64">
        <v>699.56</v>
      </c>
      <c r="I20" s="64">
        <v>889.77</v>
      </c>
      <c r="J20" s="64">
        <v>1232.3399999999999</v>
      </c>
      <c r="K20" s="64">
        <v>1120.25</v>
      </c>
    </row>
    <row r="21" spans="1:11" x14ac:dyDescent="0.2">
      <c r="A21" s="63" t="s">
        <v>110</v>
      </c>
      <c r="B21" s="64">
        <v>1533.25</v>
      </c>
      <c r="C21" s="64">
        <v>1581.59</v>
      </c>
      <c r="D21" s="64">
        <v>1683.9</v>
      </c>
      <c r="E21" s="64">
        <v>1697.62</v>
      </c>
      <c r="F21" s="64">
        <v>1871.01</v>
      </c>
      <c r="G21" s="64">
        <v>1908.29</v>
      </c>
      <c r="H21" s="64">
        <v>1587.18</v>
      </c>
      <c r="I21" s="64">
        <v>1887.67</v>
      </c>
      <c r="J21" s="64">
        <v>2327.8000000000002</v>
      </c>
      <c r="K21" s="64">
        <v>2513.67</v>
      </c>
    </row>
    <row r="22" spans="1:11" x14ac:dyDescent="0.2">
      <c r="A22" s="63" t="s">
        <v>111</v>
      </c>
      <c r="B22" s="64">
        <v>2772.28</v>
      </c>
      <c r="C22" s="64">
        <v>3440.97</v>
      </c>
      <c r="D22" s="64">
        <v>3631.73</v>
      </c>
      <c r="E22" s="64">
        <v>3760.9</v>
      </c>
      <c r="F22" s="64">
        <v>4177.88</v>
      </c>
      <c r="G22" s="64">
        <v>4295.79</v>
      </c>
      <c r="H22" s="64">
        <v>4463.33</v>
      </c>
      <c r="I22" s="64">
        <v>4890.55</v>
      </c>
      <c r="J22" s="64">
        <v>5736.22</v>
      </c>
      <c r="K22" s="64">
        <v>6134.35</v>
      </c>
    </row>
    <row r="23" spans="1:11" x14ac:dyDescent="0.2">
      <c r="A23" s="63" t="s">
        <v>112</v>
      </c>
      <c r="B23" s="64">
        <v>3876.19</v>
      </c>
      <c r="C23" s="64">
        <v>4261.78</v>
      </c>
      <c r="D23" s="64">
        <v>4179.74</v>
      </c>
      <c r="E23" s="64">
        <v>3954.87</v>
      </c>
      <c r="F23" s="64">
        <v>4546.3900000000003</v>
      </c>
      <c r="G23" s="64">
        <v>4488.63</v>
      </c>
      <c r="H23" s="64">
        <v>4236.7700000000004</v>
      </c>
      <c r="I23" s="64">
        <v>4858.38</v>
      </c>
      <c r="J23" s="64">
        <v>5604.08</v>
      </c>
      <c r="K23" s="64">
        <v>6178.63</v>
      </c>
    </row>
    <row r="24" spans="1:11" x14ac:dyDescent="0.2">
      <c r="A24" s="63" t="s">
        <v>113</v>
      </c>
      <c r="B24" s="64">
        <v>1000.96</v>
      </c>
      <c r="C24" s="64">
        <v>1235.8900000000001</v>
      </c>
      <c r="D24" s="64">
        <v>1169.23</v>
      </c>
      <c r="E24" s="64">
        <v>1005.98</v>
      </c>
      <c r="F24" s="64">
        <v>1039.8499999999999</v>
      </c>
      <c r="G24" s="64">
        <v>1225.1300000000001</v>
      </c>
      <c r="H24" s="64">
        <v>1074.3900000000001</v>
      </c>
      <c r="I24" s="64">
        <v>1109.95</v>
      </c>
      <c r="J24" s="64">
        <v>1308.56</v>
      </c>
      <c r="K24" s="64">
        <v>1439.55</v>
      </c>
    </row>
    <row r="25" spans="1:11" x14ac:dyDescent="0.2">
      <c r="A25" s="63" t="s">
        <v>114</v>
      </c>
      <c r="B25" s="64">
        <v>1229.3499999999999</v>
      </c>
      <c r="C25" s="64">
        <v>1483.11</v>
      </c>
      <c r="D25" s="64">
        <v>1758.63</v>
      </c>
      <c r="E25" s="64">
        <v>2239.81</v>
      </c>
      <c r="F25" s="64">
        <v>2080.44</v>
      </c>
      <c r="G25" s="64">
        <v>2417.3200000000002</v>
      </c>
      <c r="H25" s="64">
        <v>2576.9499999999998</v>
      </c>
      <c r="I25" s="64">
        <v>1909.72</v>
      </c>
      <c r="J25" s="64">
        <v>2097.64</v>
      </c>
      <c r="K25" s="64">
        <v>2803.77</v>
      </c>
    </row>
    <row r="26" spans="1:11" x14ac:dyDescent="0.2">
      <c r="A26" s="63" t="s">
        <v>115</v>
      </c>
      <c r="B26" s="64">
        <v>1027.96</v>
      </c>
      <c r="C26" s="64">
        <v>1077.4000000000001</v>
      </c>
      <c r="D26" s="64">
        <v>1152.79</v>
      </c>
      <c r="E26" s="64">
        <v>1236.28</v>
      </c>
      <c r="F26" s="64">
        <v>1396.61</v>
      </c>
      <c r="G26" s="64">
        <v>1644.91</v>
      </c>
      <c r="H26" s="64">
        <v>1645.59</v>
      </c>
      <c r="I26" s="64">
        <v>1732.41</v>
      </c>
      <c r="J26" s="64">
        <v>1809.01</v>
      </c>
      <c r="K26" s="64">
        <v>1816.39</v>
      </c>
    </row>
    <row r="27" spans="1:11" ht="15" x14ac:dyDescent="0.25">
      <c r="A27" s="63" t="s">
        <v>116</v>
      </c>
      <c r="B27" s="64">
        <v>90.96</v>
      </c>
      <c r="C27" s="64">
        <v>78.13</v>
      </c>
      <c r="D27" s="64">
        <v>49.03</v>
      </c>
      <c r="E27" s="64">
        <v>115.01</v>
      </c>
      <c r="F27" s="64">
        <v>71.400000000000006</v>
      </c>
      <c r="G27" s="64">
        <v>81.38</v>
      </c>
      <c r="H27" s="64">
        <v>57.97</v>
      </c>
      <c r="I27" s="64">
        <v>59.99</v>
      </c>
      <c r="J27" s="68">
        <v>77.77</v>
      </c>
      <c r="K27" s="68">
        <v>80.06</v>
      </c>
    </row>
    <row r="28" spans="1:11" x14ac:dyDescent="0.2">
      <c r="A28" s="63" t="s">
        <v>117</v>
      </c>
      <c r="B28" s="64">
        <v>14362.05</v>
      </c>
      <c r="C28" s="64">
        <v>14859.07</v>
      </c>
      <c r="D28" s="64">
        <v>16026.32</v>
      </c>
      <c r="E28" s="64">
        <v>17409.11</v>
      </c>
      <c r="F28" s="64">
        <v>19149.82</v>
      </c>
      <c r="G28" s="64">
        <v>20034.57</v>
      </c>
      <c r="H28" s="64">
        <v>17938.169999999998</v>
      </c>
      <c r="I28" s="64">
        <v>20740.47</v>
      </c>
      <c r="J28" s="64">
        <v>25915.119999999999</v>
      </c>
      <c r="K28" s="64">
        <v>27139.88</v>
      </c>
    </row>
    <row r="29" spans="1:11" x14ac:dyDescent="0.2">
      <c r="A29" s="63" t="s">
        <v>118</v>
      </c>
      <c r="B29" s="64">
        <v>4596.42</v>
      </c>
      <c r="C29" s="64">
        <v>5358.21</v>
      </c>
      <c r="D29" s="64">
        <v>5549.09</v>
      </c>
      <c r="E29" s="64">
        <v>5916.43</v>
      </c>
      <c r="F29" s="64">
        <v>6313.92</v>
      </c>
      <c r="G29" s="64">
        <v>4441.79</v>
      </c>
      <c r="H29" s="64">
        <v>4555.29</v>
      </c>
      <c r="I29" s="64">
        <v>5237.34</v>
      </c>
      <c r="J29" s="64">
        <v>6438.4</v>
      </c>
      <c r="K29" s="64">
        <v>6388.52</v>
      </c>
    </row>
    <row r="30" spans="1:11" x14ac:dyDescent="0.2">
      <c r="A30" s="63" t="s">
        <v>119</v>
      </c>
      <c r="B30" s="64">
        <v>9663.17</v>
      </c>
      <c r="C30" s="64">
        <v>9344.4500000000007</v>
      </c>
      <c r="D30" s="64">
        <v>10289.44</v>
      </c>
      <c r="E30" s="64">
        <v>11271.2</v>
      </c>
      <c r="F30" s="64">
        <v>12592.33</v>
      </c>
      <c r="G30" s="64">
        <v>15306.23</v>
      </c>
      <c r="H30" s="64">
        <v>13161.19</v>
      </c>
      <c r="I30" s="64">
        <v>15242.66</v>
      </c>
      <c r="J30" s="64">
        <v>19191.66</v>
      </c>
      <c r="K30" s="64">
        <v>20458.78</v>
      </c>
    </row>
    <row r="31" spans="1:11" x14ac:dyDescent="0.2">
      <c r="A31" s="63" t="s">
        <v>120</v>
      </c>
      <c r="B31" s="64">
        <v>5009.6899999999996</v>
      </c>
      <c r="C31" s="64">
        <v>6840.12</v>
      </c>
      <c r="D31" s="64">
        <v>5770.02</v>
      </c>
      <c r="E31" s="64">
        <v>6285.21</v>
      </c>
      <c r="F31" s="64">
        <v>7048.7</v>
      </c>
      <c r="G31" s="64">
        <v>12476.58</v>
      </c>
      <c r="H31" s="64">
        <v>13231.96</v>
      </c>
      <c r="I31" s="64">
        <v>14171.8</v>
      </c>
      <c r="J31" s="64">
        <v>19263.400000000001</v>
      </c>
      <c r="K31" s="64">
        <v>17166.46</v>
      </c>
    </row>
    <row r="32" spans="1:11" x14ac:dyDescent="0.2">
      <c r="A32" s="63" t="s">
        <v>121</v>
      </c>
      <c r="B32" s="69">
        <f>B29/B28</f>
        <v>0.32003927015990058</v>
      </c>
      <c r="C32" s="69">
        <f t="shared" ref="C32:K32" si="0">C29/C28</f>
        <v>0.36060197576295155</v>
      </c>
      <c r="D32" s="69">
        <f t="shared" si="0"/>
        <v>0.34624854614159711</v>
      </c>
      <c r="E32" s="69">
        <f t="shared" si="0"/>
        <v>0.33984678136906482</v>
      </c>
      <c r="F32" s="69">
        <f t="shared" si="0"/>
        <v>0.32971171530594023</v>
      </c>
      <c r="G32" s="69">
        <f t="shared" si="0"/>
        <v>0.22170628069382073</v>
      </c>
      <c r="H32" s="69">
        <f t="shared" si="0"/>
        <v>0.25394396418363746</v>
      </c>
      <c r="I32" s="69">
        <f t="shared" si="0"/>
        <v>0.25251790340334618</v>
      </c>
      <c r="J32" s="69">
        <f t="shared" si="0"/>
        <v>0.24844183627164373</v>
      </c>
      <c r="K32" s="69">
        <f t="shared" si="0"/>
        <v>0.23539234513933002</v>
      </c>
    </row>
    <row r="34" spans="1:11" x14ac:dyDescent="0.2">
      <c r="A34" s="63" t="s">
        <v>122</v>
      </c>
      <c r="B34" s="63">
        <f>+B30+B29+B27+B26</f>
        <v>15378.509999999998</v>
      </c>
      <c r="C34" s="63">
        <f t="shared" ref="C34:K34" si="1">+C30+C29+C27+C26</f>
        <v>15858.189999999999</v>
      </c>
      <c r="D34" s="63">
        <f t="shared" si="1"/>
        <v>17040.350000000002</v>
      </c>
      <c r="E34" s="63">
        <f t="shared" si="1"/>
        <v>18538.919999999998</v>
      </c>
      <c r="F34" s="63">
        <f t="shared" si="1"/>
        <v>20374.260000000002</v>
      </c>
      <c r="G34" s="63">
        <f t="shared" si="1"/>
        <v>21474.31</v>
      </c>
      <c r="H34" s="63">
        <f t="shared" si="1"/>
        <v>19420.04</v>
      </c>
      <c r="I34" s="63">
        <f t="shared" si="1"/>
        <v>22272.400000000001</v>
      </c>
      <c r="J34" s="63">
        <f t="shared" si="1"/>
        <v>27516.839999999997</v>
      </c>
      <c r="K34" s="63">
        <f t="shared" si="1"/>
        <v>28743.75</v>
      </c>
    </row>
    <row r="36" spans="1:11" x14ac:dyDescent="0.2">
      <c r="C36" s="63">
        <f>IFERROR(,0)</f>
        <v>0</v>
      </c>
    </row>
    <row r="40" spans="1:11" x14ac:dyDescent="0.2">
      <c r="A40" s="62" t="s">
        <v>123</v>
      </c>
    </row>
    <row r="41" spans="1:11" s="67" customFormat="1" x14ac:dyDescent="0.2">
      <c r="A41" s="65" t="s">
        <v>105</v>
      </c>
      <c r="B41" s="66">
        <v>44651</v>
      </c>
      <c r="C41" s="66">
        <v>44742</v>
      </c>
      <c r="D41" s="66">
        <v>44834</v>
      </c>
      <c r="E41" s="66">
        <v>44926</v>
      </c>
      <c r="F41" s="66">
        <v>45016</v>
      </c>
      <c r="G41" s="66">
        <v>45107</v>
      </c>
      <c r="H41" s="66">
        <v>45199</v>
      </c>
      <c r="I41" s="66">
        <v>45291</v>
      </c>
      <c r="J41" s="66">
        <v>45382</v>
      </c>
      <c r="K41" s="66">
        <v>45473</v>
      </c>
    </row>
    <row r="42" spans="1:11" x14ac:dyDescent="0.2">
      <c r="A42" s="63" t="s">
        <v>106</v>
      </c>
      <c r="B42" s="64">
        <v>16555.53</v>
      </c>
      <c r="C42" s="64">
        <v>18489.45</v>
      </c>
      <c r="D42" s="64">
        <v>17107.990000000002</v>
      </c>
      <c r="E42" s="64">
        <v>17704.52</v>
      </c>
      <c r="F42" s="64">
        <v>17634.89</v>
      </c>
      <c r="G42" s="64">
        <v>17164.46</v>
      </c>
      <c r="H42" s="64">
        <v>17774.47</v>
      </c>
      <c r="I42" s="64">
        <v>18019.37</v>
      </c>
      <c r="J42" s="64">
        <v>17922.7</v>
      </c>
      <c r="K42" s="64">
        <v>18457.330000000002</v>
      </c>
    </row>
    <row r="43" spans="1:11" x14ac:dyDescent="0.2">
      <c r="A43" s="63" t="s">
        <v>124</v>
      </c>
      <c r="B43" s="64">
        <v>10956.13</v>
      </c>
      <c r="C43" s="64">
        <v>12412.32</v>
      </c>
      <c r="D43" s="64">
        <v>10848.89</v>
      </c>
      <c r="E43" s="64">
        <v>10999.82</v>
      </c>
      <c r="F43" s="64">
        <v>11010.89</v>
      </c>
      <c r="G43" s="64">
        <v>10494.39</v>
      </c>
      <c r="H43" s="64">
        <v>11320.23</v>
      </c>
      <c r="I43" s="64">
        <v>11515.55</v>
      </c>
      <c r="J43" s="64">
        <v>11296.48</v>
      </c>
      <c r="K43" s="64">
        <v>11708.92</v>
      </c>
    </row>
    <row r="44" spans="1:11" x14ac:dyDescent="0.2">
      <c r="A44" s="63" t="s">
        <v>114</v>
      </c>
      <c r="B44" s="64">
        <v>498.62</v>
      </c>
      <c r="C44" s="64">
        <v>320.73</v>
      </c>
      <c r="D44" s="64">
        <v>454.68</v>
      </c>
      <c r="E44" s="64">
        <v>595.42999999999995</v>
      </c>
      <c r="F44" s="64">
        <v>682.52</v>
      </c>
      <c r="G44" s="64">
        <v>722.3</v>
      </c>
      <c r="H44" s="64">
        <v>664.88</v>
      </c>
      <c r="I44" s="64">
        <v>651.30999999999995</v>
      </c>
      <c r="J44" s="64">
        <v>681.78</v>
      </c>
      <c r="K44" s="64">
        <v>691.84</v>
      </c>
    </row>
    <row r="45" spans="1:11" x14ac:dyDescent="0.2">
      <c r="A45" s="63" t="s">
        <v>115</v>
      </c>
      <c r="B45" s="64">
        <v>466.96</v>
      </c>
      <c r="C45" s="64">
        <v>438.12</v>
      </c>
      <c r="D45" s="64">
        <v>462.38</v>
      </c>
      <c r="E45" s="64">
        <v>447.11</v>
      </c>
      <c r="F45" s="64">
        <v>461.4</v>
      </c>
      <c r="G45" s="64">
        <v>442.46</v>
      </c>
      <c r="H45" s="64">
        <v>453.04</v>
      </c>
      <c r="I45" s="64">
        <v>459.45</v>
      </c>
      <c r="J45" s="64">
        <v>461.44</v>
      </c>
      <c r="K45" s="64">
        <v>498.57</v>
      </c>
    </row>
    <row r="46" spans="1:11" ht="15" x14ac:dyDescent="0.25">
      <c r="A46" s="63" t="s">
        <v>116</v>
      </c>
      <c r="B46" s="68">
        <v>10.71</v>
      </c>
      <c r="C46" s="68">
        <v>9.25</v>
      </c>
      <c r="D46" s="68">
        <v>12.59</v>
      </c>
      <c r="E46" s="68">
        <v>9.2100000000000009</v>
      </c>
      <c r="F46" s="68">
        <v>12.15</v>
      </c>
      <c r="G46" s="68">
        <v>9.9</v>
      </c>
      <c r="H46" s="68">
        <v>9.8699999999999992</v>
      </c>
      <c r="I46" s="68">
        <v>13.6</v>
      </c>
      <c r="J46" s="68">
        <v>12.59</v>
      </c>
      <c r="K46" s="68">
        <v>11.25</v>
      </c>
    </row>
    <row r="47" spans="1:11" x14ac:dyDescent="0.2">
      <c r="A47" s="63" t="s">
        <v>117</v>
      </c>
      <c r="B47" s="64">
        <v>5620.35</v>
      </c>
      <c r="C47" s="64">
        <v>5950.49</v>
      </c>
      <c r="D47" s="64">
        <v>6238.81</v>
      </c>
      <c r="E47" s="64">
        <v>6843.81</v>
      </c>
      <c r="F47" s="64">
        <v>6832.97</v>
      </c>
      <c r="G47" s="64">
        <v>6940.01</v>
      </c>
      <c r="H47" s="64">
        <v>6656.21</v>
      </c>
      <c r="I47" s="64">
        <v>6682.08</v>
      </c>
      <c r="J47" s="64">
        <v>6833.97</v>
      </c>
      <c r="K47" s="64">
        <v>6930.43</v>
      </c>
    </row>
    <row r="48" spans="1:11" x14ac:dyDescent="0.2">
      <c r="A48" s="63" t="s">
        <v>118</v>
      </c>
      <c r="B48" s="64">
        <v>1360.67</v>
      </c>
      <c r="C48" s="64">
        <v>1488.24</v>
      </c>
      <c r="D48" s="64">
        <v>1568.49</v>
      </c>
      <c r="E48" s="64">
        <v>1773.72</v>
      </c>
      <c r="F48" s="64">
        <v>1607.95</v>
      </c>
      <c r="G48" s="64">
        <v>1759.89</v>
      </c>
      <c r="H48" s="64">
        <v>1700.31</v>
      </c>
      <c r="I48" s="64">
        <v>1281.57</v>
      </c>
      <c r="J48" s="64">
        <v>1646.75</v>
      </c>
      <c r="K48" s="64">
        <v>1761.06</v>
      </c>
    </row>
    <row r="49" spans="1:11" x14ac:dyDescent="0.2">
      <c r="A49" s="63" t="s">
        <v>119</v>
      </c>
      <c r="B49" s="64">
        <v>4195.6899999999996</v>
      </c>
      <c r="C49" s="64">
        <v>4389.76</v>
      </c>
      <c r="D49" s="64">
        <v>4619.7700000000004</v>
      </c>
      <c r="E49" s="64">
        <v>5006.6499999999996</v>
      </c>
      <c r="F49" s="64">
        <v>5175.4799999999996</v>
      </c>
      <c r="G49" s="64">
        <v>5104.93</v>
      </c>
      <c r="H49" s="64">
        <v>4898.07</v>
      </c>
      <c r="I49" s="64">
        <v>5335.23</v>
      </c>
      <c r="J49" s="64">
        <v>5120.55</v>
      </c>
      <c r="K49" s="64">
        <v>5091.59</v>
      </c>
    </row>
    <row r="50" spans="1:11" x14ac:dyDescent="0.2">
      <c r="A50" s="63" t="s">
        <v>125</v>
      </c>
      <c r="B50" s="64">
        <v>5599.4</v>
      </c>
      <c r="C50" s="64">
        <v>6077.13</v>
      </c>
      <c r="D50" s="64">
        <v>6259.1</v>
      </c>
      <c r="E50" s="64">
        <v>6704.7</v>
      </c>
      <c r="F50" s="64">
        <v>6624</v>
      </c>
      <c r="G50" s="64">
        <v>6670.07</v>
      </c>
      <c r="H50" s="64">
        <v>6454.24</v>
      </c>
      <c r="I50" s="64">
        <v>6503.82</v>
      </c>
      <c r="J50" s="64">
        <v>6626.22</v>
      </c>
      <c r="K50" s="64">
        <v>6748.41</v>
      </c>
    </row>
    <row r="51" spans="1:11" x14ac:dyDescent="0.2">
      <c r="A51" s="63" t="s">
        <v>122</v>
      </c>
      <c r="B51" s="63">
        <f>B49+B48+B46+B45</f>
        <v>6034.03</v>
      </c>
      <c r="C51" s="63">
        <f t="shared" ref="C51:K51" si="2">C49+C48+C46+C45</f>
        <v>6325.37</v>
      </c>
      <c r="D51" s="63">
        <f t="shared" si="2"/>
        <v>6663.2300000000005</v>
      </c>
      <c r="E51" s="63">
        <f t="shared" si="2"/>
        <v>7236.69</v>
      </c>
      <c r="F51" s="63">
        <f t="shared" si="2"/>
        <v>7256.9799999999987</v>
      </c>
      <c r="G51" s="63">
        <f t="shared" si="2"/>
        <v>7317.18</v>
      </c>
      <c r="H51" s="63">
        <f t="shared" si="2"/>
        <v>7061.2899999999991</v>
      </c>
      <c r="I51" s="63">
        <f t="shared" si="2"/>
        <v>7089.8499999999995</v>
      </c>
      <c r="J51" s="63">
        <f t="shared" si="2"/>
        <v>7241.33</v>
      </c>
      <c r="K51" s="63">
        <f t="shared" si="2"/>
        <v>7362.4699999999993</v>
      </c>
    </row>
    <row r="55" spans="1:11" x14ac:dyDescent="0.2">
      <c r="A55" s="62" t="s">
        <v>126</v>
      </c>
    </row>
    <row r="56" spans="1:11" s="67" customFormat="1" x14ac:dyDescent="0.2">
      <c r="A56" s="65" t="s">
        <v>105</v>
      </c>
      <c r="B56" s="66">
        <v>42094</v>
      </c>
      <c r="C56" s="66">
        <v>42460</v>
      </c>
      <c r="D56" s="66">
        <v>42825</v>
      </c>
      <c r="E56" s="66">
        <v>43190</v>
      </c>
      <c r="F56" s="66">
        <v>43555</v>
      </c>
      <c r="G56" s="66">
        <v>43921</v>
      </c>
      <c r="H56" s="66">
        <v>44286</v>
      </c>
      <c r="I56" s="66">
        <v>44651</v>
      </c>
      <c r="J56" s="66">
        <v>45016</v>
      </c>
      <c r="K56" s="66">
        <v>45382</v>
      </c>
    </row>
    <row r="57" spans="1:11" x14ac:dyDescent="0.2">
      <c r="A57" s="63" t="s">
        <v>127</v>
      </c>
      <c r="B57" s="64">
        <v>801.55</v>
      </c>
      <c r="C57" s="64">
        <v>804.72</v>
      </c>
      <c r="D57" s="64">
        <v>1214.74</v>
      </c>
      <c r="E57" s="64">
        <v>1220.43</v>
      </c>
      <c r="F57" s="64">
        <v>1225.8599999999999</v>
      </c>
      <c r="G57" s="64">
        <v>1229.22</v>
      </c>
      <c r="H57" s="64">
        <v>1230.8800000000001</v>
      </c>
      <c r="I57" s="64">
        <v>1232.33</v>
      </c>
      <c r="J57" s="64">
        <v>1242.8</v>
      </c>
      <c r="K57" s="64">
        <v>1248.47</v>
      </c>
    </row>
    <row r="58" spans="1:11" x14ac:dyDescent="0.2">
      <c r="A58" s="63" t="s">
        <v>128</v>
      </c>
      <c r="B58" s="64">
        <v>30933.94</v>
      </c>
      <c r="C58" s="64">
        <v>41874.800000000003</v>
      </c>
      <c r="D58" s="64">
        <v>45198.19</v>
      </c>
      <c r="E58" s="64">
        <v>51289.68</v>
      </c>
      <c r="F58" s="64">
        <v>57915.01</v>
      </c>
      <c r="G58" s="64">
        <v>64044.04</v>
      </c>
      <c r="H58" s="64">
        <v>59116.46</v>
      </c>
      <c r="I58" s="64">
        <v>61223.24</v>
      </c>
      <c r="J58" s="64">
        <v>67912.460000000006</v>
      </c>
      <c r="K58" s="64">
        <v>73258.53</v>
      </c>
    </row>
    <row r="59" spans="1:11" ht="15" x14ac:dyDescent="0.25">
      <c r="A59" s="63" t="s">
        <v>129</v>
      </c>
      <c r="B59" s="68">
        <v>268.8</v>
      </c>
      <c r="C59" s="68">
        <v>83.78</v>
      </c>
      <c r="D59" s="68">
        <v>45.72</v>
      </c>
      <c r="E59" s="68">
        <v>35.92</v>
      </c>
      <c r="F59" s="68">
        <v>13.44</v>
      </c>
      <c r="G59" s="68">
        <v>277.45</v>
      </c>
      <c r="H59" s="68">
        <v>270.83</v>
      </c>
      <c r="I59" s="68">
        <v>249.44</v>
      </c>
      <c r="J59" s="68">
        <v>306.04000000000002</v>
      </c>
      <c r="K59" s="68">
        <v>303.43</v>
      </c>
    </row>
    <row r="60" spans="1:11" x14ac:dyDescent="0.2">
      <c r="A60" s="63" t="s">
        <v>130</v>
      </c>
      <c r="B60" s="64">
        <v>13947.93</v>
      </c>
      <c r="C60" s="64">
        <v>8888.0400000000009</v>
      </c>
      <c r="D60" s="64">
        <v>9439.67</v>
      </c>
      <c r="E60" s="64">
        <v>11694.85</v>
      </c>
      <c r="F60" s="64">
        <v>12584.73</v>
      </c>
      <c r="G60" s="64">
        <v>11760.04</v>
      </c>
      <c r="H60" s="64">
        <v>13142.59</v>
      </c>
      <c r="I60" s="64">
        <v>14491.01</v>
      </c>
      <c r="J60" s="64">
        <v>16369.66</v>
      </c>
      <c r="K60" s="64">
        <v>16943.54</v>
      </c>
    </row>
    <row r="61" spans="1:11" s="62" customFormat="1" x14ac:dyDescent="0.2">
      <c r="A61" s="62" t="s">
        <v>57</v>
      </c>
      <c r="B61" s="64">
        <v>45952.22</v>
      </c>
      <c r="C61" s="64">
        <v>51651.34</v>
      </c>
      <c r="D61" s="64">
        <v>55898.32</v>
      </c>
      <c r="E61" s="64">
        <v>64240.88</v>
      </c>
      <c r="F61" s="64">
        <v>71739.039999999994</v>
      </c>
      <c r="G61" s="64">
        <v>77310.75</v>
      </c>
      <c r="H61" s="64">
        <v>73760.759999999995</v>
      </c>
      <c r="I61" s="64">
        <v>77196.02</v>
      </c>
      <c r="J61" s="64">
        <v>85830.96</v>
      </c>
      <c r="K61" s="64">
        <v>91753.97</v>
      </c>
    </row>
    <row r="62" spans="1:11" x14ac:dyDescent="0.2">
      <c r="A62" s="63" t="s">
        <v>131</v>
      </c>
      <c r="B62" s="64">
        <v>15303.28</v>
      </c>
      <c r="C62" s="64">
        <v>15106.63</v>
      </c>
      <c r="D62" s="64">
        <v>15893.48</v>
      </c>
      <c r="E62" s="64">
        <v>16523.96</v>
      </c>
      <c r="F62" s="64">
        <v>19374.189999999999</v>
      </c>
      <c r="G62" s="64">
        <v>21713.34</v>
      </c>
      <c r="H62" s="64">
        <v>23298.48</v>
      </c>
      <c r="I62" s="64">
        <v>24231.59</v>
      </c>
      <c r="J62" s="64">
        <v>25851.27</v>
      </c>
      <c r="K62" s="64">
        <v>27820.22</v>
      </c>
    </row>
    <row r="63" spans="1:11" x14ac:dyDescent="0.2">
      <c r="A63" s="63" t="s">
        <v>132</v>
      </c>
      <c r="B63" s="64">
        <v>2700.2</v>
      </c>
      <c r="C63" s="64">
        <v>2559.7199999999998</v>
      </c>
      <c r="D63" s="64">
        <v>3729.89</v>
      </c>
      <c r="E63" s="64">
        <v>5508.33</v>
      </c>
      <c r="F63" s="64">
        <v>4136.42</v>
      </c>
      <c r="G63" s="64">
        <v>3256.46</v>
      </c>
      <c r="H63" s="64">
        <v>4011.29</v>
      </c>
      <c r="I63" s="64">
        <v>3225.54</v>
      </c>
      <c r="J63" s="64">
        <v>3003.3</v>
      </c>
      <c r="K63" s="64">
        <v>2860.78</v>
      </c>
    </row>
    <row r="64" spans="1:11" ht="15" x14ac:dyDescent="0.25">
      <c r="A64" s="63" t="s">
        <v>133</v>
      </c>
      <c r="B64" s="64">
        <v>6942.77</v>
      </c>
      <c r="C64" s="68">
        <v>11747.59</v>
      </c>
      <c r="D64" s="64">
        <v>17581.38</v>
      </c>
      <c r="E64" s="64">
        <v>22052.86</v>
      </c>
      <c r="F64" s="64">
        <v>25043.49</v>
      </c>
      <c r="G64" s="64">
        <v>28663.35</v>
      </c>
      <c r="H64" s="64">
        <v>24870.87</v>
      </c>
      <c r="I64" s="64">
        <v>24841.01</v>
      </c>
      <c r="J64" s="64">
        <v>29415.02</v>
      </c>
      <c r="K64" s="64">
        <v>31114.02</v>
      </c>
    </row>
    <row r="65" spans="1:11" x14ac:dyDescent="0.2">
      <c r="A65" s="63" t="s">
        <v>134</v>
      </c>
      <c r="B65" s="64">
        <v>21005.97</v>
      </c>
      <c r="C65" s="64">
        <v>22237.4</v>
      </c>
      <c r="D65" s="64">
        <v>18693.57</v>
      </c>
      <c r="E65" s="64">
        <v>20155.73</v>
      </c>
      <c r="F65" s="64">
        <v>23184.94</v>
      </c>
      <c r="G65" s="64">
        <v>23677.599999999999</v>
      </c>
      <c r="H65" s="64">
        <v>21580.12</v>
      </c>
      <c r="I65" s="64">
        <v>24897.88</v>
      </c>
      <c r="J65" s="64">
        <v>27561.37</v>
      </c>
      <c r="K65" s="64">
        <v>29958.95</v>
      </c>
    </row>
    <row r="66" spans="1:11" s="62" customFormat="1" x14ac:dyDescent="0.2">
      <c r="A66" s="62" t="s">
        <v>57</v>
      </c>
      <c r="B66" s="64">
        <v>45952.22</v>
      </c>
      <c r="C66" s="64">
        <v>51651.34</v>
      </c>
      <c r="D66" s="64">
        <v>55898.32</v>
      </c>
      <c r="E66" s="64">
        <v>64240.88</v>
      </c>
      <c r="F66" s="64">
        <v>71739.039999999994</v>
      </c>
      <c r="G66" s="64">
        <v>77310.75</v>
      </c>
      <c r="H66" s="64">
        <v>73760.759999999995</v>
      </c>
      <c r="I66" s="64">
        <v>77196.02</v>
      </c>
      <c r="J66" s="64">
        <v>85830.96</v>
      </c>
      <c r="K66" s="64">
        <v>91753.97</v>
      </c>
    </row>
    <row r="67" spans="1:11" x14ac:dyDescent="0.2">
      <c r="A67" s="63" t="s">
        <v>135</v>
      </c>
      <c r="B67" s="64">
        <v>1982.07</v>
      </c>
      <c r="C67" s="64">
        <v>1917.18</v>
      </c>
      <c r="D67" s="64">
        <v>2474.29</v>
      </c>
      <c r="E67" s="64">
        <v>2682.29</v>
      </c>
      <c r="F67" s="64">
        <v>4035.28</v>
      </c>
      <c r="G67" s="64">
        <v>2562.48</v>
      </c>
      <c r="H67" s="64">
        <v>2501.6999999999998</v>
      </c>
      <c r="I67" s="64">
        <v>2461.9</v>
      </c>
      <c r="J67" s="64">
        <v>2956.17</v>
      </c>
      <c r="K67" s="64">
        <v>4025.82</v>
      </c>
    </row>
    <row r="68" spans="1:11" ht="15" x14ac:dyDescent="0.25">
      <c r="A68" s="63" t="s">
        <v>136</v>
      </c>
      <c r="B68" s="68">
        <v>8586.8700000000008</v>
      </c>
      <c r="C68" s="68">
        <v>9062.1</v>
      </c>
      <c r="D68" s="68">
        <v>8116.1</v>
      </c>
      <c r="E68" s="68">
        <v>7495.09</v>
      </c>
      <c r="F68" s="68">
        <v>7859.56</v>
      </c>
      <c r="G68" s="68">
        <v>8879.33</v>
      </c>
      <c r="H68" s="68">
        <v>10397.16</v>
      </c>
      <c r="I68" s="68">
        <v>10864.15</v>
      </c>
      <c r="J68" s="68">
        <v>11771.16</v>
      </c>
      <c r="K68" s="68">
        <v>14152.88</v>
      </c>
    </row>
    <row r="69" spans="1:11" x14ac:dyDescent="0.2">
      <c r="A69" s="63" t="s">
        <v>137</v>
      </c>
      <c r="B69" s="64">
        <v>7896.22</v>
      </c>
      <c r="C69" s="64">
        <v>6063.3</v>
      </c>
      <c r="D69" s="64">
        <v>2967.4</v>
      </c>
      <c r="E69" s="64">
        <v>2899.6</v>
      </c>
      <c r="F69" s="64">
        <v>4152.03</v>
      </c>
      <c r="G69" s="64">
        <v>7277.34</v>
      </c>
      <c r="H69" s="64">
        <v>4659.0200000000004</v>
      </c>
      <c r="I69" s="64">
        <v>4654.42</v>
      </c>
      <c r="J69" s="64">
        <v>4880.1899999999996</v>
      </c>
      <c r="K69" s="64">
        <v>7217.68</v>
      </c>
    </row>
    <row r="70" spans="1:11" x14ac:dyDescent="0.2">
      <c r="A70" s="63" t="s">
        <v>138</v>
      </c>
      <c r="B70" s="64">
        <v>8015519541</v>
      </c>
      <c r="C70" s="64">
        <v>8047206991</v>
      </c>
      <c r="D70" s="64">
        <v>12147383071</v>
      </c>
      <c r="E70" s="64">
        <v>12204294911</v>
      </c>
      <c r="F70" s="64">
        <v>12258631601</v>
      </c>
      <c r="G70" s="64">
        <v>12292231241</v>
      </c>
      <c r="H70" s="64">
        <v>12308844231</v>
      </c>
      <c r="I70" s="64">
        <v>12323255931</v>
      </c>
      <c r="J70" s="64">
        <v>12428017741</v>
      </c>
      <c r="K70" s="64">
        <v>12484700000</v>
      </c>
    </row>
    <row r="71" spans="1:11" ht="15" x14ac:dyDescent="0.25">
      <c r="A71" s="63" t="s">
        <v>139</v>
      </c>
      <c r="B71" s="70"/>
      <c r="C71" s="70"/>
      <c r="D71">
        <v>4026657100</v>
      </c>
      <c r="G71" s="70"/>
      <c r="H71" s="70"/>
    </row>
    <row r="72" spans="1:11" x14ac:dyDescent="0.2">
      <c r="A72" s="63" t="s">
        <v>140</v>
      </c>
      <c r="B72" s="64">
        <v>1</v>
      </c>
      <c r="C72" s="64">
        <v>1</v>
      </c>
      <c r="D72" s="64">
        <v>1</v>
      </c>
      <c r="E72" s="64">
        <v>1</v>
      </c>
      <c r="F72" s="64">
        <v>1</v>
      </c>
      <c r="G72" s="64">
        <v>1</v>
      </c>
      <c r="H72" s="64">
        <v>1</v>
      </c>
      <c r="I72" s="64">
        <v>1</v>
      </c>
      <c r="J72" s="64">
        <v>1</v>
      </c>
      <c r="K72" s="64">
        <v>1</v>
      </c>
    </row>
    <row r="73" spans="1:11" x14ac:dyDescent="0.2">
      <c r="H73" s="63">
        <f>H62-G62+H45</f>
        <v>2038.1799999999994</v>
      </c>
      <c r="I73" s="63">
        <f>I62-H62+I45</f>
        <v>1392.5600000000006</v>
      </c>
      <c r="J73" s="63">
        <f>J62-I62+J45</f>
        <v>2081.1200000000003</v>
      </c>
      <c r="K73" s="63">
        <f>K62-J62+K45</f>
        <v>2467.5200000000009</v>
      </c>
    </row>
    <row r="75" spans="1:11" x14ac:dyDescent="0.2">
      <c r="A75" s="63" t="s">
        <v>134</v>
      </c>
      <c r="B75" s="63">
        <f>B65-SUM(B67:B69)</f>
        <v>2540.8100000000013</v>
      </c>
      <c r="C75" s="63">
        <f t="shared" ref="C75:K75" si="3">C65-SUM(C67:C69)</f>
        <v>5194.82</v>
      </c>
      <c r="D75" s="63">
        <f t="shared" si="3"/>
        <v>5135.7800000000007</v>
      </c>
      <c r="E75" s="63">
        <f t="shared" si="3"/>
        <v>7078.7499999999982</v>
      </c>
      <c r="F75" s="63">
        <f t="shared" si="3"/>
        <v>7138.07</v>
      </c>
      <c r="G75" s="63">
        <f t="shared" si="3"/>
        <v>4958.4499999999971</v>
      </c>
      <c r="H75" s="63">
        <f t="shared" si="3"/>
        <v>4022.239999999998</v>
      </c>
      <c r="I75" s="63">
        <f t="shared" si="3"/>
        <v>6917.41</v>
      </c>
      <c r="J75" s="63">
        <f t="shared" si="3"/>
        <v>7953.8499999999985</v>
      </c>
      <c r="K75" s="63">
        <f t="shared" si="3"/>
        <v>4562.57</v>
      </c>
    </row>
    <row r="76" spans="1:11" x14ac:dyDescent="0.2">
      <c r="A76" s="63" t="s">
        <v>178</v>
      </c>
      <c r="B76" s="63">
        <f>SUM(B62:B64,B67:B69,B75)</f>
        <v>45952.22</v>
      </c>
      <c r="C76" s="63">
        <f t="shared" ref="C76:K76" si="4">SUM(C62:C64,C67:C69,C75)</f>
        <v>51651.340000000004</v>
      </c>
      <c r="D76" s="63">
        <f t="shared" si="4"/>
        <v>55898.32</v>
      </c>
      <c r="E76" s="63">
        <f t="shared" si="4"/>
        <v>64240.88</v>
      </c>
      <c r="F76" s="63">
        <f t="shared" si="4"/>
        <v>71739.040000000008</v>
      </c>
      <c r="G76" s="63">
        <f t="shared" si="4"/>
        <v>77310.75</v>
      </c>
      <c r="H76" s="63">
        <f t="shared" si="4"/>
        <v>73760.760000000009</v>
      </c>
      <c r="I76" s="63">
        <f t="shared" si="4"/>
        <v>77196.02</v>
      </c>
      <c r="J76" s="63">
        <f t="shared" si="4"/>
        <v>85830.959999999992</v>
      </c>
      <c r="K76" s="63">
        <f t="shared" si="4"/>
        <v>91753.97000000003</v>
      </c>
    </row>
    <row r="80" spans="1:11" x14ac:dyDescent="0.2">
      <c r="A80" s="62" t="s">
        <v>141</v>
      </c>
    </row>
    <row r="81" spans="1:12" s="67" customFormat="1" x14ac:dyDescent="0.2">
      <c r="A81" s="65" t="s">
        <v>105</v>
      </c>
      <c r="B81" s="66">
        <v>42094</v>
      </c>
      <c r="C81" s="66">
        <v>42460</v>
      </c>
      <c r="D81" s="66">
        <v>42825</v>
      </c>
      <c r="E81" s="66">
        <v>43190</v>
      </c>
      <c r="F81" s="66">
        <v>43555</v>
      </c>
      <c r="G81" s="66">
        <v>43921</v>
      </c>
      <c r="H81" s="66">
        <v>44286</v>
      </c>
      <c r="I81" s="66">
        <v>44651</v>
      </c>
      <c r="J81" s="66">
        <v>45016</v>
      </c>
      <c r="K81" s="66">
        <v>45382</v>
      </c>
      <c r="L81" s="66"/>
    </row>
    <row r="82" spans="1:12" s="62" customFormat="1" x14ac:dyDescent="0.2">
      <c r="A82" s="63" t="s">
        <v>142</v>
      </c>
      <c r="B82" s="64">
        <v>9843.2000000000007</v>
      </c>
      <c r="C82" s="64">
        <v>9799.0400000000009</v>
      </c>
      <c r="D82" s="64">
        <v>10627.31</v>
      </c>
      <c r="E82" s="64">
        <v>13169.4</v>
      </c>
      <c r="F82" s="64">
        <v>12583.41</v>
      </c>
      <c r="G82" s="64">
        <v>14689.66</v>
      </c>
      <c r="H82" s="64">
        <v>12526.97</v>
      </c>
      <c r="I82" s="64">
        <v>15775.51</v>
      </c>
      <c r="J82" s="64">
        <v>18877.55</v>
      </c>
      <c r="K82" s="64">
        <v>17178.86</v>
      </c>
    </row>
    <row r="83" spans="1:12" x14ac:dyDescent="0.2">
      <c r="A83" s="63" t="s">
        <v>143</v>
      </c>
      <c r="B83" s="64">
        <v>-5275.43</v>
      </c>
      <c r="C83" s="64">
        <v>-3920.73</v>
      </c>
      <c r="D83" s="64">
        <v>-3250.93</v>
      </c>
      <c r="E83" s="64">
        <v>-7113.89</v>
      </c>
      <c r="F83" s="64">
        <v>-5545.68</v>
      </c>
      <c r="G83" s="64">
        <v>-6174.02</v>
      </c>
      <c r="H83" s="64">
        <v>5739.98</v>
      </c>
      <c r="I83" s="64">
        <v>-2238.4899999999998</v>
      </c>
      <c r="J83" s="64">
        <v>-5732.29</v>
      </c>
      <c r="K83" s="64">
        <v>1562.77</v>
      </c>
    </row>
    <row r="84" spans="1:12" x14ac:dyDescent="0.2">
      <c r="A84" s="63" t="s">
        <v>144</v>
      </c>
      <c r="B84" s="64">
        <v>-4661.03</v>
      </c>
      <c r="C84" s="64">
        <v>-5612.52</v>
      </c>
      <c r="D84" s="64">
        <v>-7301.03</v>
      </c>
      <c r="E84" s="64">
        <v>-6221.13</v>
      </c>
      <c r="F84" s="64">
        <v>-6868.64</v>
      </c>
      <c r="G84" s="64">
        <v>-8181.48</v>
      </c>
      <c r="H84" s="64">
        <v>-18633.830000000002</v>
      </c>
      <c r="I84" s="64">
        <v>-13580.5</v>
      </c>
      <c r="J84" s="64">
        <v>-13006.03</v>
      </c>
      <c r="K84" s="64">
        <v>-18550.96</v>
      </c>
    </row>
    <row r="85" spans="1:12" s="62" customFormat="1" x14ac:dyDescent="0.2">
      <c r="A85" s="63" t="s">
        <v>145</v>
      </c>
      <c r="B85" s="64">
        <v>-93.26</v>
      </c>
      <c r="C85" s="64">
        <v>265.79000000000002</v>
      </c>
      <c r="D85" s="64">
        <v>75.349999999999994</v>
      </c>
      <c r="E85" s="64">
        <v>-165.62</v>
      </c>
      <c r="F85" s="64">
        <v>169.09</v>
      </c>
      <c r="G85" s="64">
        <v>334.16</v>
      </c>
      <c r="H85" s="64">
        <v>-366.88</v>
      </c>
      <c r="I85" s="64">
        <v>-43.48</v>
      </c>
      <c r="J85" s="64">
        <v>139.22999999999999</v>
      </c>
      <c r="K85" s="64">
        <v>190.67</v>
      </c>
    </row>
    <row r="90" spans="1:12" s="62" customFormat="1" x14ac:dyDescent="0.2">
      <c r="A90" s="62" t="s">
        <v>146</v>
      </c>
      <c r="B90" s="64">
        <v>217.23</v>
      </c>
      <c r="C90" s="64">
        <v>218.83</v>
      </c>
      <c r="D90" s="64">
        <v>280.3</v>
      </c>
      <c r="E90" s="64">
        <v>255.5</v>
      </c>
      <c r="F90" s="64">
        <v>297.25</v>
      </c>
      <c r="G90" s="64">
        <v>171.7</v>
      </c>
      <c r="H90" s="64">
        <v>218.5</v>
      </c>
      <c r="I90" s="64">
        <v>250.65</v>
      </c>
      <c r="J90" s="64">
        <v>383.5</v>
      </c>
      <c r="K90" s="64">
        <v>428.35</v>
      </c>
    </row>
    <row r="92" spans="1:12" s="62" customFormat="1" x14ac:dyDescent="0.2">
      <c r="A92" s="62" t="s">
        <v>147</v>
      </c>
    </row>
    <row r="93" spans="1:12" x14ac:dyDescent="0.2">
      <c r="A93" s="63" t="s">
        <v>148</v>
      </c>
      <c r="B93" s="71">
        <v>1202.33</v>
      </c>
      <c r="C93" s="71">
        <v>1207.08</v>
      </c>
      <c r="D93" s="71">
        <v>1214.74</v>
      </c>
      <c r="E93" s="71">
        <v>1220.43</v>
      </c>
      <c r="F93" s="71">
        <v>1225.8599999999999</v>
      </c>
      <c r="G93" s="71">
        <v>1229.22</v>
      </c>
      <c r="H93" s="71">
        <v>1230.8800000000001</v>
      </c>
      <c r="I93" s="71">
        <v>1232.33</v>
      </c>
      <c r="J93" s="71">
        <v>1242.8</v>
      </c>
      <c r="K93" s="71">
        <v>1248.47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/>
  </hyperlinks>
  <pageMargins left="0.7" right="0.7" top="0.75" bottom="0.75" header="0.3" footer="0.3"/>
  <pageSetup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74"/>
  <sheetViews>
    <sheetView showGridLines="0" workbookViewId="0">
      <pane ySplit="2" topLeftCell="A3" activePane="bottomLeft" state="frozen"/>
      <selection pane="bottomLeft" activeCell="N8" sqref="N8"/>
    </sheetView>
  </sheetViews>
  <sheetFormatPr defaultRowHeight="15" x14ac:dyDescent="0.25"/>
  <cols>
    <col min="1" max="1" width="1.85546875" customWidth="1"/>
    <col min="2" max="2" width="35.5703125" bestFit="1" customWidth="1"/>
    <col min="3" max="5" width="11.28515625" bestFit="1" customWidth="1"/>
    <col min="6" max="6" width="12.7109375" bestFit="1" customWidth="1"/>
    <col min="7" max="14" width="11.28515625" bestFit="1" customWidth="1"/>
  </cols>
  <sheetData>
    <row r="2" spans="2:14" x14ac:dyDescent="0.25">
      <c r="B2" s="93" t="s">
        <v>212</v>
      </c>
      <c r="C2" s="94">
        <v>41334</v>
      </c>
      <c r="D2" s="94">
        <v>41699</v>
      </c>
      <c r="E2" s="94">
        <v>42064</v>
      </c>
      <c r="F2" s="94">
        <v>42430</v>
      </c>
      <c r="G2" s="94">
        <v>42795</v>
      </c>
      <c r="H2" s="94">
        <v>43160</v>
      </c>
      <c r="I2" s="94">
        <v>43525</v>
      </c>
      <c r="J2" s="94">
        <v>43891</v>
      </c>
      <c r="K2" s="94">
        <v>44256</v>
      </c>
      <c r="L2" s="94">
        <v>44621</v>
      </c>
      <c r="M2" s="94">
        <v>44986</v>
      </c>
      <c r="N2" s="94">
        <v>45352</v>
      </c>
    </row>
    <row r="3" spans="2:14" s="97" customFormat="1" x14ac:dyDescent="0.25">
      <c r="B3" s="95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</row>
    <row r="4" spans="2:14" x14ac:dyDescent="0.25">
      <c r="B4" s="37" t="s">
        <v>184</v>
      </c>
      <c r="C4" s="102">
        <v>790</v>
      </c>
      <c r="D4" s="102">
        <v>795</v>
      </c>
      <c r="E4" s="102">
        <v>802</v>
      </c>
      <c r="F4" s="102">
        <v>805</v>
      </c>
      <c r="G4" s="102">
        <v>1215</v>
      </c>
      <c r="H4" s="102">
        <v>1220</v>
      </c>
      <c r="I4" s="102">
        <v>1226</v>
      </c>
      <c r="J4" s="102">
        <v>1229</v>
      </c>
      <c r="K4" s="102">
        <v>1231</v>
      </c>
      <c r="L4" s="102">
        <v>1232</v>
      </c>
      <c r="M4" s="102">
        <v>1243</v>
      </c>
      <c r="N4" s="102">
        <v>1248</v>
      </c>
    </row>
    <row r="5" spans="2:14" x14ac:dyDescent="0.25">
      <c r="B5" s="37" t="s">
        <v>128</v>
      </c>
      <c r="C5" s="102">
        <v>22368</v>
      </c>
      <c r="D5" s="102">
        <v>26442</v>
      </c>
      <c r="E5" s="102">
        <v>30934</v>
      </c>
      <c r="F5" s="102">
        <v>41875</v>
      </c>
      <c r="G5" s="102">
        <v>45198</v>
      </c>
      <c r="H5" s="102">
        <v>51290</v>
      </c>
      <c r="I5" s="102">
        <v>57915</v>
      </c>
      <c r="J5" s="102">
        <v>64044</v>
      </c>
      <c r="K5" s="102">
        <v>59116</v>
      </c>
      <c r="L5" s="102">
        <v>61223</v>
      </c>
      <c r="M5" s="102">
        <v>67912</v>
      </c>
      <c r="N5" s="102">
        <v>73259</v>
      </c>
    </row>
    <row r="6" spans="2:14" x14ac:dyDescent="0.25">
      <c r="B6" s="37" t="s">
        <v>185</v>
      </c>
      <c r="C6" s="102">
        <v>102</v>
      </c>
      <c r="D6" s="102">
        <v>242</v>
      </c>
      <c r="E6" s="102">
        <v>269</v>
      </c>
      <c r="F6" s="102">
        <v>84</v>
      </c>
      <c r="G6" s="102">
        <v>46</v>
      </c>
      <c r="H6" s="102">
        <v>36</v>
      </c>
      <c r="I6" s="102">
        <v>13</v>
      </c>
      <c r="J6" s="102">
        <v>277</v>
      </c>
      <c r="K6" s="102">
        <v>271</v>
      </c>
      <c r="L6" s="102">
        <v>249</v>
      </c>
      <c r="M6" s="102">
        <v>306</v>
      </c>
      <c r="N6" s="102">
        <v>303</v>
      </c>
    </row>
    <row r="7" spans="2:14" x14ac:dyDescent="0.25">
      <c r="B7" t="s">
        <v>186</v>
      </c>
      <c r="C7" s="102">
        <v>91</v>
      </c>
      <c r="D7" s="102">
        <v>76</v>
      </c>
      <c r="E7" s="102">
        <v>61</v>
      </c>
      <c r="F7" s="102">
        <v>27</v>
      </c>
      <c r="G7" s="102">
        <v>18</v>
      </c>
      <c r="H7" s="102">
        <v>12</v>
      </c>
      <c r="I7" s="102">
        <v>8</v>
      </c>
      <c r="J7" s="102">
        <v>6</v>
      </c>
      <c r="K7" s="102">
        <v>6</v>
      </c>
      <c r="L7" s="102">
        <v>5</v>
      </c>
      <c r="M7" s="102">
        <v>3</v>
      </c>
      <c r="N7" s="102">
        <v>2</v>
      </c>
    </row>
    <row r="8" spans="2:14" x14ac:dyDescent="0.25">
      <c r="B8" t="s">
        <v>187</v>
      </c>
      <c r="C8" s="102">
        <v>0</v>
      </c>
      <c r="D8" s="102">
        <v>150</v>
      </c>
      <c r="E8" s="102">
        <v>195</v>
      </c>
      <c r="F8" s="102">
        <v>44</v>
      </c>
      <c r="G8" s="102">
        <v>19</v>
      </c>
      <c r="H8" s="102">
        <v>17</v>
      </c>
      <c r="I8" s="102">
        <v>2</v>
      </c>
      <c r="J8" s="102">
        <v>1</v>
      </c>
      <c r="K8" s="102">
        <v>4</v>
      </c>
      <c r="L8" s="102">
        <v>1</v>
      </c>
      <c r="M8" s="102">
        <v>35</v>
      </c>
      <c r="N8" s="102">
        <v>10</v>
      </c>
    </row>
    <row r="9" spans="2:14" x14ac:dyDescent="0.25">
      <c r="B9" t="s">
        <v>188</v>
      </c>
      <c r="C9" s="102">
        <v>0</v>
      </c>
      <c r="D9" s="102">
        <v>0</v>
      </c>
      <c r="E9" s="102">
        <v>0</v>
      </c>
      <c r="F9" s="102">
        <v>0</v>
      </c>
      <c r="G9" s="102">
        <v>0</v>
      </c>
      <c r="H9" s="102">
        <v>0</v>
      </c>
      <c r="I9" s="102">
        <v>0</v>
      </c>
      <c r="J9" s="102">
        <v>268</v>
      </c>
      <c r="K9" s="102">
        <v>261</v>
      </c>
      <c r="L9" s="102">
        <v>244</v>
      </c>
      <c r="M9" s="102">
        <v>267</v>
      </c>
      <c r="N9" s="102">
        <v>292</v>
      </c>
    </row>
    <row r="10" spans="2:14" x14ac:dyDescent="0.25">
      <c r="B10" t="s">
        <v>189</v>
      </c>
      <c r="C10" s="102">
        <v>12</v>
      </c>
      <c r="D10" s="102">
        <v>16</v>
      </c>
      <c r="E10" s="102">
        <v>13</v>
      </c>
      <c r="F10" s="102">
        <v>13</v>
      </c>
      <c r="G10" s="102">
        <v>8</v>
      </c>
      <c r="H10" s="102">
        <v>7</v>
      </c>
      <c r="I10" s="102">
        <v>3</v>
      </c>
      <c r="J10" s="102">
        <v>2</v>
      </c>
      <c r="K10" s="102">
        <v>0</v>
      </c>
      <c r="L10" s="102">
        <v>0</v>
      </c>
      <c r="M10" s="102">
        <v>0</v>
      </c>
      <c r="N10" s="102">
        <v>0</v>
      </c>
    </row>
    <row r="11" spans="2:14" x14ac:dyDescent="0.25">
      <c r="B11" s="37" t="s">
        <v>190</v>
      </c>
      <c r="C11" s="102">
        <v>12069</v>
      </c>
      <c r="D11" s="102">
        <v>13369</v>
      </c>
      <c r="E11" s="102">
        <v>13948</v>
      </c>
      <c r="F11" s="102">
        <v>8888</v>
      </c>
      <c r="G11" s="102">
        <v>9440</v>
      </c>
      <c r="H11" s="102">
        <v>11695</v>
      </c>
      <c r="I11" s="102">
        <v>12585</v>
      </c>
      <c r="J11" s="102">
        <v>11760</v>
      </c>
      <c r="K11" s="102">
        <v>13143</v>
      </c>
      <c r="L11" s="102">
        <v>14491</v>
      </c>
      <c r="M11" s="102">
        <v>16370</v>
      </c>
      <c r="N11" s="102">
        <v>16944</v>
      </c>
    </row>
    <row r="12" spans="2:14" x14ac:dyDescent="0.25">
      <c r="B12" t="s">
        <v>191</v>
      </c>
      <c r="C12" s="102">
        <v>180</v>
      </c>
      <c r="D12" s="102">
        <v>203</v>
      </c>
      <c r="E12" s="102">
        <v>225</v>
      </c>
      <c r="F12" s="102">
        <v>261</v>
      </c>
      <c r="G12" s="102">
        <v>295</v>
      </c>
      <c r="H12" s="102">
        <v>334</v>
      </c>
      <c r="I12" s="102">
        <v>343</v>
      </c>
      <c r="J12" s="102">
        <v>377</v>
      </c>
      <c r="K12" s="102">
        <v>347</v>
      </c>
      <c r="L12" s="102">
        <v>366</v>
      </c>
      <c r="M12" s="102">
        <v>384</v>
      </c>
      <c r="N12" s="102">
        <v>383</v>
      </c>
    </row>
    <row r="13" spans="2:14" x14ac:dyDescent="0.25">
      <c r="B13" t="s">
        <v>192</v>
      </c>
      <c r="C13" s="102">
        <v>1772</v>
      </c>
      <c r="D13" s="102">
        <v>2106</v>
      </c>
      <c r="E13" s="102">
        <v>2020</v>
      </c>
      <c r="F13" s="102">
        <v>2339</v>
      </c>
      <c r="G13" s="102">
        <v>2659</v>
      </c>
      <c r="H13" s="102">
        <v>3496</v>
      </c>
      <c r="I13" s="102">
        <v>3510</v>
      </c>
      <c r="J13" s="102">
        <v>3630</v>
      </c>
      <c r="K13" s="102">
        <v>4319</v>
      </c>
      <c r="L13" s="102">
        <v>4417</v>
      </c>
      <c r="M13" s="102">
        <v>4659</v>
      </c>
      <c r="N13" s="102">
        <v>4798</v>
      </c>
    </row>
    <row r="14" spans="2:14" x14ac:dyDescent="0.25">
      <c r="B14" t="s">
        <v>193</v>
      </c>
      <c r="C14" s="102">
        <v>0</v>
      </c>
      <c r="D14" s="102">
        <v>0</v>
      </c>
      <c r="E14" s="102">
        <v>0</v>
      </c>
      <c r="F14" s="102">
        <v>805</v>
      </c>
      <c r="G14" s="102">
        <v>495</v>
      </c>
      <c r="H14" s="102">
        <v>461</v>
      </c>
      <c r="I14" s="102">
        <v>430</v>
      </c>
      <c r="J14" s="102">
        <v>703</v>
      </c>
      <c r="K14" s="102">
        <v>811</v>
      </c>
      <c r="L14" s="102">
        <v>1278</v>
      </c>
      <c r="M14" s="102">
        <v>1295</v>
      </c>
      <c r="N14" s="102">
        <v>886</v>
      </c>
    </row>
    <row r="15" spans="2:14" x14ac:dyDescent="0.25">
      <c r="B15" t="s">
        <v>194</v>
      </c>
      <c r="C15" s="104">
        <v>10118</v>
      </c>
      <c r="D15" s="104">
        <v>11060</v>
      </c>
      <c r="E15" s="104">
        <v>11702</v>
      </c>
      <c r="F15" s="104">
        <v>5483</v>
      </c>
      <c r="G15" s="104">
        <v>5991</v>
      </c>
      <c r="H15" s="104">
        <v>7404</v>
      </c>
      <c r="I15" s="104">
        <v>8301</v>
      </c>
      <c r="J15" s="104">
        <v>7050</v>
      </c>
      <c r="K15" s="104">
        <v>7666</v>
      </c>
      <c r="L15" s="104">
        <v>8429</v>
      </c>
      <c r="M15" s="104">
        <v>10032</v>
      </c>
      <c r="N15" s="104">
        <v>10877</v>
      </c>
    </row>
    <row r="16" spans="2:14" x14ac:dyDescent="0.25">
      <c r="B16" s="99" t="s">
        <v>174</v>
      </c>
      <c r="C16" s="100">
        <v>35329</v>
      </c>
      <c r="D16" s="100">
        <v>40848</v>
      </c>
      <c r="E16" s="100">
        <v>45952</v>
      </c>
      <c r="F16" s="100">
        <v>51651</v>
      </c>
      <c r="G16" s="100">
        <v>55898</v>
      </c>
      <c r="H16" s="100">
        <v>64241</v>
      </c>
      <c r="I16" s="100">
        <v>71739</v>
      </c>
      <c r="J16" s="100">
        <v>77311</v>
      </c>
      <c r="K16" s="100">
        <v>73761</v>
      </c>
      <c r="L16" s="100">
        <v>77196</v>
      </c>
      <c r="M16" s="100">
        <v>85831</v>
      </c>
      <c r="N16" s="100">
        <v>91754</v>
      </c>
    </row>
    <row r="17" spans="2:14" x14ac:dyDescent="0.25">
      <c r="B17" s="3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</row>
    <row r="18" spans="2:14" x14ac:dyDescent="0.25">
      <c r="B18" s="37" t="s">
        <v>195</v>
      </c>
      <c r="C18" s="91"/>
      <c r="D18" s="91"/>
      <c r="E18" s="91"/>
      <c r="F18" s="91"/>
      <c r="G18" s="91"/>
      <c r="H18" s="91"/>
      <c r="I18" s="91"/>
      <c r="J18" s="91"/>
      <c r="K18" s="91"/>
      <c r="L18" s="91"/>
      <c r="M18" s="91"/>
      <c r="N18" s="91"/>
    </row>
    <row r="19" spans="2:14" x14ac:dyDescent="0.25">
      <c r="B19" t="s">
        <v>196</v>
      </c>
      <c r="C19" s="102">
        <v>1512</v>
      </c>
      <c r="D19" s="102">
        <v>1564</v>
      </c>
      <c r="E19" s="102">
        <v>1717</v>
      </c>
      <c r="F19" s="102">
        <v>1615</v>
      </c>
      <c r="G19" s="102">
        <v>1673</v>
      </c>
      <c r="H19" s="102">
        <v>1685</v>
      </c>
      <c r="I19" s="102">
        <v>2021</v>
      </c>
      <c r="J19" s="102">
        <v>2797</v>
      </c>
      <c r="K19" s="102">
        <v>2889</v>
      </c>
      <c r="L19" s="102">
        <v>2829</v>
      </c>
      <c r="M19" s="102">
        <v>2830</v>
      </c>
      <c r="N19" s="102">
        <v>2865</v>
      </c>
    </row>
    <row r="20" spans="2:14" x14ac:dyDescent="0.25">
      <c r="B20" t="s">
        <v>197</v>
      </c>
      <c r="C20" s="102">
        <v>3802</v>
      </c>
      <c r="D20" s="102">
        <v>4110</v>
      </c>
      <c r="E20" s="102">
        <v>4860</v>
      </c>
      <c r="F20" s="102">
        <v>4219</v>
      </c>
      <c r="G20" s="102">
        <v>4716</v>
      </c>
      <c r="H20" s="102">
        <v>5331</v>
      </c>
      <c r="I20" s="102">
        <v>6996</v>
      </c>
      <c r="J20" s="102">
        <v>8161</v>
      </c>
      <c r="K20" s="102">
        <v>8387</v>
      </c>
      <c r="L20" s="102">
        <v>9100</v>
      </c>
      <c r="M20" s="102">
        <v>9789</v>
      </c>
      <c r="N20" s="102">
        <v>10944</v>
      </c>
    </row>
    <row r="21" spans="2:14" x14ac:dyDescent="0.25">
      <c r="B21" t="s">
        <v>198</v>
      </c>
      <c r="C21" s="102">
        <v>11422</v>
      </c>
      <c r="D21" s="102">
        <v>12633</v>
      </c>
      <c r="E21" s="102">
        <v>14667</v>
      </c>
      <c r="F21" s="102">
        <v>9112</v>
      </c>
      <c r="G21" s="102">
        <v>10384</v>
      </c>
      <c r="H21" s="102">
        <v>11453</v>
      </c>
      <c r="I21" s="102">
        <v>13316</v>
      </c>
      <c r="J21" s="102">
        <v>14625</v>
      </c>
      <c r="K21" s="102">
        <v>15307</v>
      </c>
      <c r="L21" s="102">
        <v>16912</v>
      </c>
      <c r="M21" s="102">
        <v>18480</v>
      </c>
      <c r="N21" s="102">
        <v>20718</v>
      </c>
    </row>
    <row r="22" spans="2:14" x14ac:dyDescent="0.25">
      <c r="B22" t="s">
        <v>199</v>
      </c>
      <c r="C22" s="102">
        <v>27</v>
      </c>
      <c r="D22" s="102">
        <v>34</v>
      </c>
      <c r="E22" s="102">
        <v>46</v>
      </c>
      <c r="F22" s="102">
        <v>27</v>
      </c>
      <c r="G22" s="102">
        <v>32</v>
      </c>
      <c r="H22" s="102">
        <v>32</v>
      </c>
      <c r="I22" s="102">
        <v>34</v>
      </c>
      <c r="J22" s="102">
        <v>40</v>
      </c>
      <c r="K22" s="102">
        <v>41</v>
      </c>
      <c r="L22" s="102">
        <v>44</v>
      </c>
      <c r="M22" s="102">
        <v>44</v>
      </c>
      <c r="N22" s="102">
        <v>53</v>
      </c>
    </row>
    <row r="23" spans="2:14" x14ac:dyDescent="0.25">
      <c r="B23" t="s">
        <v>200</v>
      </c>
      <c r="C23" s="102">
        <v>690</v>
      </c>
      <c r="D23" s="102">
        <v>729</v>
      </c>
      <c r="E23" s="102">
        <v>805</v>
      </c>
      <c r="F23" s="102">
        <v>413</v>
      </c>
      <c r="G23" s="102">
        <v>459</v>
      </c>
      <c r="H23" s="102">
        <v>497</v>
      </c>
      <c r="I23" s="102">
        <v>644</v>
      </c>
      <c r="J23" s="102">
        <v>810</v>
      </c>
      <c r="K23" s="102">
        <v>833</v>
      </c>
      <c r="L23" s="102">
        <v>907</v>
      </c>
      <c r="M23" s="102">
        <v>1000</v>
      </c>
      <c r="N23" s="102">
        <v>1068</v>
      </c>
    </row>
    <row r="24" spans="2:14" x14ac:dyDescent="0.25">
      <c r="B24" t="s">
        <v>281</v>
      </c>
      <c r="C24" s="102">
        <v>2</v>
      </c>
      <c r="D24" s="102">
        <v>2</v>
      </c>
      <c r="E24" s="102">
        <v>2</v>
      </c>
      <c r="F24" s="102">
        <v>2</v>
      </c>
      <c r="G24" s="102">
        <v>2</v>
      </c>
      <c r="H24" s="102">
        <v>2</v>
      </c>
      <c r="I24" s="102">
        <v>2</v>
      </c>
      <c r="J24" s="102">
        <v>2</v>
      </c>
      <c r="K24" s="102">
        <v>2</v>
      </c>
      <c r="L24" s="102">
        <v>2</v>
      </c>
      <c r="M24" s="102">
        <v>2</v>
      </c>
      <c r="N24" s="102">
        <v>2</v>
      </c>
    </row>
    <row r="25" spans="2:14" x14ac:dyDescent="0.25">
      <c r="B25" t="s">
        <v>201</v>
      </c>
      <c r="C25" s="102">
        <v>110</v>
      </c>
      <c r="D25" s="102">
        <v>120</v>
      </c>
      <c r="E25" s="102">
        <v>128</v>
      </c>
      <c r="F25" s="102">
        <v>107</v>
      </c>
      <c r="G25" s="102">
        <v>128</v>
      </c>
      <c r="H25" s="102">
        <v>140</v>
      </c>
      <c r="I25" s="102">
        <v>161</v>
      </c>
      <c r="J25" s="102">
        <v>184</v>
      </c>
      <c r="K25" s="102">
        <v>180</v>
      </c>
      <c r="L25" s="102">
        <v>179</v>
      </c>
      <c r="M25" s="102">
        <v>189</v>
      </c>
      <c r="N25" s="102">
        <v>192</v>
      </c>
    </row>
    <row r="26" spans="2:14" x14ac:dyDescent="0.25">
      <c r="B26" t="s">
        <v>202</v>
      </c>
      <c r="C26" s="102">
        <v>418</v>
      </c>
      <c r="D26" s="102">
        <v>398</v>
      </c>
      <c r="E26" s="102">
        <v>678</v>
      </c>
      <c r="F26" s="102">
        <v>563</v>
      </c>
      <c r="G26" s="102">
        <v>563</v>
      </c>
      <c r="H26" s="102">
        <v>570</v>
      </c>
      <c r="I26" s="102">
        <v>684</v>
      </c>
      <c r="J26" s="102">
        <v>684</v>
      </c>
      <c r="K26" s="102">
        <v>2734</v>
      </c>
      <c r="L26" s="102">
        <v>2744</v>
      </c>
      <c r="M26" s="102">
        <v>3490</v>
      </c>
      <c r="N26" s="102">
        <v>3505</v>
      </c>
    </row>
    <row r="27" spans="2:14" x14ac:dyDescent="0.25">
      <c r="B27" t="s">
        <v>203</v>
      </c>
      <c r="C27" s="102">
        <v>394</v>
      </c>
      <c r="D27" s="102">
        <v>411</v>
      </c>
      <c r="E27" s="102">
        <v>458</v>
      </c>
      <c r="F27" s="102">
        <v>117</v>
      </c>
      <c r="G27" s="102">
        <v>138</v>
      </c>
      <c r="H27" s="102">
        <v>212</v>
      </c>
      <c r="I27" s="102">
        <v>234</v>
      </c>
      <c r="J27" s="102">
        <v>663</v>
      </c>
      <c r="K27" s="102">
        <v>716</v>
      </c>
      <c r="L27" s="102">
        <v>719</v>
      </c>
      <c r="M27" s="102">
        <v>786</v>
      </c>
      <c r="N27" s="102">
        <v>841</v>
      </c>
    </row>
    <row r="28" spans="2:14" x14ac:dyDescent="0.25">
      <c r="B28" s="37" t="s">
        <v>204</v>
      </c>
      <c r="C28" s="80">
        <v>18376</v>
      </c>
      <c r="D28" s="80">
        <v>20000</v>
      </c>
      <c r="E28" s="80">
        <v>23361</v>
      </c>
      <c r="F28" s="80">
        <v>16176</v>
      </c>
      <c r="G28" s="80">
        <v>18094</v>
      </c>
      <c r="H28" s="80">
        <v>19920</v>
      </c>
      <c r="I28" s="80">
        <v>24090</v>
      </c>
      <c r="J28" s="80">
        <v>27965</v>
      </c>
      <c r="K28" s="80">
        <v>31088</v>
      </c>
      <c r="L28" s="80">
        <v>33435</v>
      </c>
      <c r="M28" s="80">
        <v>36608</v>
      </c>
      <c r="N28" s="80">
        <v>40189</v>
      </c>
    </row>
    <row r="29" spans="2:14" x14ac:dyDescent="0.25">
      <c r="B29" s="37" t="s">
        <v>205</v>
      </c>
      <c r="C29" s="80">
        <v>6230</v>
      </c>
      <c r="D29" s="80">
        <v>7073</v>
      </c>
      <c r="E29" s="80">
        <v>8057</v>
      </c>
      <c r="F29" s="80">
        <v>1069</v>
      </c>
      <c r="G29" s="80">
        <v>2201</v>
      </c>
      <c r="H29" s="80">
        <v>3396</v>
      </c>
      <c r="I29" s="80">
        <v>4716</v>
      </c>
      <c r="J29" s="80">
        <v>6252</v>
      </c>
      <c r="K29" s="80">
        <v>7790</v>
      </c>
      <c r="L29" s="80">
        <v>9204</v>
      </c>
      <c r="M29" s="80">
        <v>10757</v>
      </c>
      <c r="N29" s="80">
        <v>12368</v>
      </c>
    </row>
    <row r="30" spans="2:14" x14ac:dyDescent="0.25">
      <c r="B30" s="103" t="s">
        <v>131</v>
      </c>
      <c r="C30" s="136">
        <f>C28-C29</f>
        <v>12146</v>
      </c>
      <c r="D30" s="136">
        <f t="shared" ref="D30:N30" si="0">D28-D29</f>
        <v>12927</v>
      </c>
      <c r="E30" s="136">
        <f t="shared" si="0"/>
        <v>15304</v>
      </c>
      <c r="F30" s="136">
        <f t="shared" si="0"/>
        <v>15107</v>
      </c>
      <c r="G30" s="136">
        <f t="shared" si="0"/>
        <v>15893</v>
      </c>
      <c r="H30" s="136">
        <f t="shared" si="0"/>
        <v>16524</v>
      </c>
      <c r="I30" s="136">
        <f t="shared" si="0"/>
        <v>19374</v>
      </c>
      <c r="J30" s="136">
        <f t="shared" si="0"/>
        <v>21713</v>
      </c>
      <c r="K30" s="136">
        <f t="shared" si="0"/>
        <v>23298</v>
      </c>
      <c r="L30" s="136">
        <f t="shared" si="0"/>
        <v>24231</v>
      </c>
      <c r="M30" s="136">
        <f t="shared" si="0"/>
        <v>25851</v>
      </c>
      <c r="N30" s="136">
        <f t="shared" si="0"/>
        <v>27821</v>
      </c>
    </row>
    <row r="31" spans="2:14" x14ac:dyDescent="0.25">
      <c r="B31" s="105"/>
      <c r="C31" s="106"/>
      <c r="D31" s="106"/>
      <c r="E31" s="106"/>
      <c r="F31" s="106"/>
      <c r="G31" s="106"/>
      <c r="H31" s="106"/>
      <c r="I31" s="106"/>
      <c r="J31" s="106"/>
      <c r="K31" s="106"/>
      <c r="L31" s="106"/>
      <c r="M31" s="106"/>
      <c r="N31" s="106"/>
    </row>
    <row r="32" spans="2:14" x14ac:dyDescent="0.25">
      <c r="B32" s="37" t="s">
        <v>206</v>
      </c>
      <c r="C32" s="107">
        <v>2062</v>
      </c>
      <c r="D32" s="107">
        <v>3117</v>
      </c>
      <c r="E32" s="107">
        <v>2700</v>
      </c>
      <c r="F32" s="107">
        <v>2560</v>
      </c>
      <c r="G32" s="107">
        <v>3730</v>
      </c>
      <c r="H32" s="107">
        <v>5508</v>
      </c>
      <c r="I32" s="107">
        <v>4136</v>
      </c>
      <c r="J32" s="107">
        <v>3256</v>
      </c>
      <c r="K32" s="107">
        <v>4011</v>
      </c>
      <c r="L32" s="107">
        <v>3226</v>
      </c>
      <c r="M32" s="107">
        <v>3003</v>
      </c>
      <c r="N32" s="107">
        <v>2861</v>
      </c>
    </row>
    <row r="33" spans="2:14" x14ac:dyDescent="0.25">
      <c r="B33" s="37" t="s">
        <v>133</v>
      </c>
      <c r="C33" s="107">
        <v>5981</v>
      </c>
      <c r="D33" s="107">
        <v>7284</v>
      </c>
      <c r="E33" s="107">
        <v>6943</v>
      </c>
      <c r="F33" s="107">
        <v>11748</v>
      </c>
      <c r="G33" s="107">
        <v>17581</v>
      </c>
      <c r="H33" s="107">
        <v>22053</v>
      </c>
      <c r="I33" s="107">
        <v>25043</v>
      </c>
      <c r="J33" s="107">
        <v>28663</v>
      </c>
      <c r="K33" s="107">
        <v>24871</v>
      </c>
      <c r="L33" s="107">
        <v>24841</v>
      </c>
      <c r="M33" s="107">
        <v>29415</v>
      </c>
      <c r="N33" s="107">
        <v>31114</v>
      </c>
    </row>
    <row r="34" spans="2:14" x14ac:dyDescent="0.25">
      <c r="B34" s="37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</row>
    <row r="35" spans="2:14" x14ac:dyDescent="0.25">
      <c r="B35" s="37" t="s">
        <v>207</v>
      </c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</row>
    <row r="36" spans="2:14" x14ac:dyDescent="0.25">
      <c r="B36" t="s">
        <v>208</v>
      </c>
      <c r="C36" s="107">
        <v>7522</v>
      </c>
      <c r="D36" s="107">
        <v>8255</v>
      </c>
      <c r="E36" s="107">
        <v>8587</v>
      </c>
      <c r="F36" s="107">
        <v>9062</v>
      </c>
      <c r="G36" s="107">
        <v>8116</v>
      </c>
      <c r="H36" s="107">
        <v>7495</v>
      </c>
      <c r="I36" s="107">
        <v>7860</v>
      </c>
      <c r="J36" s="107">
        <v>8879</v>
      </c>
      <c r="K36" s="107">
        <v>10397</v>
      </c>
      <c r="L36" s="107">
        <v>10864</v>
      </c>
      <c r="M36" s="107">
        <v>11771</v>
      </c>
      <c r="N36" s="107">
        <v>14153</v>
      </c>
    </row>
    <row r="37" spans="2:14" x14ac:dyDescent="0.25">
      <c r="B37" t="s">
        <v>282</v>
      </c>
      <c r="C37" s="107">
        <v>1396</v>
      </c>
      <c r="D37" s="107">
        <v>2439</v>
      </c>
      <c r="E37" s="107">
        <v>1982</v>
      </c>
      <c r="F37" s="107">
        <v>1917</v>
      </c>
      <c r="G37" s="107">
        <v>2474</v>
      </c>
      <c r="H37" s="107">
        <v>2682</v>
      </c>
      <c r="I37" s="107">
        <v>4035</v>
      </c>
      <c r="J37" s="107">
        <v>2562</v>
      </c>
      <c r="K37" s="107">
        <v>2502</v>
      </c>
      <c r="L37" s="107">
        <v>2462</v>
      </c>
      <c r="M37" s="107">
        <v>2956</v>
      </c>
      <c r="N37" s="107">
        <v>4026</v>
      </c>
    </row>
    <row r="38" spans="2:14" x14ac:dyDescent="0.25">
      <c r="B38" t="s">
        <v>209</v>
      </c>
      <c r="C38" s="107">
        <v>3828</v>
      </c>
      <c r="D38" s="107">
        <v>3490</v>
      </c>
      <c r="E38" s="107">
        <v>7896</v>
      </c>
      <c r="F38" s="107">
        <v>6063</v>
      </c>
      <c r="G38" s="107">
        <v>2967</v>
      </c>
      <c r="H38" s="107">
        <v>2900</v>
      </c>
      <c r="I38" s="107">
        <v>4152</v>
      </c>
      <c r="J38" s="107">
        <v>7277</v>
      </c>
      <c r="K38" s="107">
        <v>4659</v>
      </c>
      <c r="L38" s="107">
        <v>4654</v>
      </c>
      <c r="M38" s="107">
        <v>4880</v>
      </c>
      <c r="N38" s="107">
        <v>7218</v>
      </c>
    </row>
    <row r="39" spans="2:14" x14ac:dyDescent="0.25">
      <c r="B39" t="s">
        <v>210</v>
      </c>
      <c r="C39" s="107">
        <v>65</v>
      </c>
      <c r="D39" s="107">
        <v>107</v>
      </c>
      <c r="E39" s="107">
        <v>150</v>
      </c>
      <c r="F39" s="107">
        <v>14</v>
      </c>
      <c r="G39" s="107">
        <v>7</v>
      </c>
      <c r="H39" s="107">
        <v>74</v>
      </c>
      <c r="I39" s="107">
        <v>67</v>
      </c>
      <c r="J39" s="107">
        <v>6</v>
      </c>
      <c r="K39" s="107">
        <v>7</v>
      </c>
      <c r="L39" s="107">
        <v>11</v>
      </c>
      <c r="M39" s="107">
        <v>13</v>
      </c>
      <c r="N39" s="107">
        <v>31</v>
      </c>
    </row>
    <row r="40" spans="2:14" x14ac:dyDescent="0.25">
      <c r="B40" t="s">
        <v>211</v>
      </c>
      <c r="C40" s="110">
        <v>2335</v>
      </c>
      <c r="D40" s="110">
        <v>3234</v>
      </c>
      <c r="E40" s="110">
        <v>2391</v>
      </c>
      <c r="F40" s="110">
        <v>5180</v>
      </c>
      <c r="G40" s="110">
        <v>5129</v>
      </c>
      <c r="H40" s="110">
        <v>7004</v>
      </c>
      <c r="I40" s="110">
        <v>7071</v>
      </c>
      <c r="J40" s="110">
        <v>4952</v>
      </c>
      <c r="K40" s="110">
        <v>4015</v>
      </c>
      <c r="L40" s="110">
        <v>6906</v>
      </c>
      <c r="M40" s="110">
        <v>7941</v>
      </c>
      <c r="N40" s="110">
        <v>4531</v>
      </c>
    </row>
    <row r="41" spans="2:14" x14ac:dyDescent="0.25">
      <c r="B41" s="108" t="s">
        <v>178</v>
      </c>
      <c r="C41" s="109">
        <v>35329</v>
      </c>
      <c r="D41" s="109">
        <v>40848</v>
      </c>
      <c r="E41" s="109">
        <v>45952</v>
      </c>
      <c r="F41" s="109">
        <v>51651</v>
      </c>
      <c r="G41" s="109">
        <v>55898</v>
      </c>
      <c r="H41" s="109">
        <v>64241</v>
      </c>
      <c r="I41" s="109">
        <v>71739</v>
      </c>
      <c r="J41" s="109">
        <v>77311</v>
      </c>
      <c r="K41" s="109">
        <v>73761</v>
      </c>
      <c r="L41" s="109">
        <v>77196</v>
      </c>
      <c r="M41" s="109">
        <v>85831</v>
      </c>
      <c r="N41" s="109">
        <v>91754</v>
      </c>
    </row>
    <row r="44" spans="2:14" x14ac:dyDescent="0.25">
      <c r="B44" s="125"/>
      <c r="C44" s="125"/>
      <c r="D44" s="125"/>
      <c r="E44" s="125"/>
      <c r="F44" s="125"/>
      <c r="G44" s="125"/>
      <c r="H44" s="125"/>
      <c r="I44" s="125"/>
      <c r="J44" s="125"/>
      <c r="K44" s="125"/>
      <c r="L44" s="125"/>
      <c r="M44" s="125"/>
      <c r="N44" s="124"/>
    </row>
    <row r="45" spans="2:14" x14ac:dyDescent="0.25">
      <c r="B45" s="37" t="s">
        <v>227</v>
      </c>
      <c r="C45" s="102">
        <v>11218</v>
      </c>
      <c r="D45" s="102">
        <v>13172</v>
      </c>
      <c r="E45" s="102">
        <v>14261</v>
      </c>
      <c r="F45" s="102">
        <v>15154</v>
      </c>
      <c r="G45" s="102">
        <v>16075</v>
      </c>
      <c r="H45" s="102">
        <v>17433</v>
      </c>
      <c r="I45" s="102">
        <v>18862</v>
      </c>
      <c r="J45" s="102">
        <v>19416</v>
      </c>
      <c r="K45" s="102">
        <v>17326</v>
      </c>
      <c r="L45" s="102">
        <v>20857</v>
      </c>
      <c r="M45" s="102">
        <v>26052</v>
      </c>
      <c r="N45" s="102">
        <v>26635</v>
      </c>
    </row>
    <row r="46" spans="2:14" x14ac:dyDescent="0.25">
      <c r="B46" t="s">
        <v>135</v>
      </c>
      <c r="C46" s="102">
        <v>-446</v>
      </c>
      <c r="D46" s="102">
        <v>-1546</v>
      </c>
      <c r="E46" s="102">
        <v>558</v>
      </c>
      <c r="F46" s="102">
        <v>-207</v>
      </c>
      <c r="G46" s="102">
        <v>-870</v>
      </c>
      <c r="H46" s="102">
        <v>-964</v>
      </c>
      <c r="I46" s="102">
        <v>-755</v>
      </c>
      <c r="J46" s="102">
        <v>1411</v>
      </c>
      <c r="K46" s="102">
        <v>-66</v>
      </c>
      <c r="L46" s="102">
        <v>-732</v>
      </c>
      <c r="M46" s="102">
        <v>-884</v>
      </c>
      <c r="N46" s="102">
        <v>-934</v>
      </c>
    </row>
    <row r="47" spans="2:14" x14ac:dyDescent="0.25">
      <c r="B47" t="s">
        <v>136</v>
      </c>
      <c r="C47" s="102">
        <v>-985</v>
      </c>
      <c r="D47" s="102">
        <v>-755</v>
      </c>
      <c r="E47" s="102">
        <v>-505</v>
      </c>
      <c r="F47" s="102">
        <v>-693</v>
      </c>
      <c r="G47" s="102">
        <v>593</v>
      </c>
      <c r="H47" s="102">
        <v>602</v>
      </c>
      <c r="I47" s="102">
        <v>-359</v>
      </c>
      <c r="J47" s="102">
        <v>-508</v>
      </c>
      <c r="K47" s="102">
        <v>-1460</v>
      </c>
      <c r="L47" s="102">
        <v>-466</v>
      </c>
      <c r="M47" s="102">
        <v>-1098</v>
      </c>
      <c r="N47" s="102">
        <v>-2545</v>
      </c>
    </row>
    <row r="48" spans="2:14" x14ac:dyDescent="0.25">
      <c r="B48" t="s">
        <v>228</v>
      </c>
      <c r="C48" s="102">
        <v>0</v>
      </c>
      <c r="D48" s="102">
        <v>456</v>
      </c>
      <c r="E48" s="102">
        <v>-23</v>
      </c>
      <c r="F48" s="102">
        <v>622</v>
      </c>
      <c r="G48" s="102">
        <v>321</v>
      </c>
      <c r="H48" s="102">
        <v>2098</v>
      </c>
      <c r="I48" s="102">
        <v>639</v>
      </c>
      <c r="J48" s="102">
        <v>-607</v>
      </c>
      <c r="K48" s="102">
        <v>1112</v>
      </c>
      <c r="L48" s="102">
        <v>1099</v>
      </c>
      <c r="M48" s="102">
        <v>1058</v>
      </c>
      <c r="N48" s="102">
        <v>141</v>
      </c>
    </row>
    <row r="49" spans="2:14" x14ac:dyDescent="0.25">
      <c r="B49" t="s">
        <v>229</v>
      </c>
      <c r="C49" s="102">
        <v>331</v>
      </c>
      <c r="D49" s="102">
        <v>0</v>
      </c>
      <c r="E49" s="102">
        <v>0</v>
      </c>
      <c r="F49" s="102">
        <v>0</v>
      </c>
      <c r="G49" s="102">
        <v>0</v>
      </c>
      <c r="H49" s="102">
        <v>0</v>
      </c>
      <c r="I49" s="102">
        <v>0</v>
      </c>
      <c r="J49" s="102">
        <v>0</v>
      </c>
      <c r="K49" s="102">
        <v>0</v>
      </c>
      <c r="L49" s="102">
        <v>0</v>
      </c>
      <c r="M49" s="102">
        <v>0</v>
      </c>
      <c r="N49" s="102">
        <v>0</v>
      </c>
    </row>
    <row r="50" spans="2:14" x14ac:dyDescent="0.25">
      <c r="B50" t="s">
        <v>230</v>
      </c>
      <c r="C50" s="102">
        <v>-1101</v>
      </c>
      <c r="D50" s="102">
        <v>-1844</v>
      </c>
      <c r="E50" s="102">
        <v>31</v>
      </c>
      <c r="F50" s="102">
        <v>-277</v>
      </c>
      <c r="G50" s="102">
        <v>44</v>
      </c>
      <c r="H50" s="102">
        <v>1736</v>
      </c>
      <c r="I50" s="102">
        <v>-476</v>
      </c>
      <c r="J50" s="102">
        <v>296</v>
      </c>
      <c r="K50" s="102">
        <v>-413</v>
      </c>
      <c r="L50" s="102">
        <v>-100</v>
      </c>
      <c r="M50" s="102">
        <v>-924</v>
      </c>
      <c r="N50" s="102">
        <v>-3337</v>
      </c>
    </row>
    <row r="51" spans="2:14" x14ac:dyDescent="0.25">
      <c r="B51" t="s">
        <v>231</v>
      </c>
      <c r="C51" s="102">
        <v>-3015</v>
      </c>
      <c r="D51" s="102">
        <v>-3984</v>
      </c>
      <c r="E51" s="102">
        <v>-4449</v>
      </c>
      <c r="F51" s="102">
        <v>-5078</v>
      </c>
      <c r="G51" s="102">
        <v>-5492</v>
      </c>
      <c r="H51" s="102">
        <v>-6000</v>
      </c>
      <c r="I51" s="102">
        <v>-5803</v>
      </c>
      <c r="J51" s="102">
        <v>-5023</v>
      </c>
      <c r="K51" s="102">
        <v>-4387</v>
      </c>
      <c r="L51" s="102">
        <v>-4982</v>
      </c>
      <c r="M51" s="102">
        <v>-6250</v>
      </c>
      <c r="N51" s="102">
        <v>-6120</v>
      </c>
    </row>
    <row r="52" spans="2:14" ht="15.75" thickBot="1" x14ac:dyDescent="0.3">
      <c r="B52" s="119" t="s">
        <v>226</v>
      </c>
      <c r="C52" s="127">
        <f t="shared" ref="C52:N52" si="1">SUM(C45:C51)</f>
        <v>6002</v>
      </c>
      <c r="D52" s="127">
        <f t="shared" si="1"/>
        <v>5499</v>
      </c>
      <c r="E52" s="127">
        <f t="shared" si="1"/>
        <v>9873</v>
      </c>
      <c r="F52" s="127">
        <f t="shared" si="1"/>
        <v>9521</v>
      </c>
      <c r="G52" s="127">
        <f t="shared" si="1"/>
        <v>10671</v>
      </c>
      <c r="H52" s="127">
        <f t="shared" si="1"/>
        <v>14905</v>
      </c>
      <c r="I52" s="127">
        <f t="shared" si="1"/>
        <v>12108</v>
      </c>
      <c r="J52" s="127">
        <f t="shared" si="1"/>
        <v>14985</v>
      </c>
      <c r="K52" s="127">
        <f t="shared" si="1"/>
        <v>12112</v>
      </c>
      <c r="L52" s="127">
        <f t="shared" si="1"/>
        <v>15676</v>
      </c>
      <c r="M52" s="127">
        <f t="shared" si="1"/>
        <v>17954</v>
      </c>
      <c r="N52" s="127">
        <f t="shared" si="1"/>
        <v>13840</v>
      </c>
    </row>
    <row r="53" spans="2:14" x14ac:dyDescent="0.25">
      <c r="B53" s="37"/>
      <c r="C53" s="126"/>
      <c r="D53" s="126"/>
      <c r="E53" s="126"/>
      <c r="F53" s="126"/>
      <c r="G53" s="126"/>
      <c r="H53" s="126"/>
      <c r="I53" s="126"/>
      <c r="J53" s="126"/>
      <c r="K53" s="126"/>
      <c r="L53" s="126"/>
      <c r="M53" s="126"/>
      <c r="N53" s="126"/>
    </row>
    <row r="54" spans="2:14" x14ac:dyDescent="0.25">
      <c r="B54" t="s">
        <v>233</v>
      </c>
      <c r="C54" s="102">
        <v>-2644</v>
      </c>
      <c r="D54" s="102">
        <v>-2887</v>
      </c>
      <c r="E54" s="102">
        <v>-3300</v>
      </c>
      <c r="F54" s="102">
        <v>-2348</v>
      </c>
      <c r="G54" s="102">
        <v>-3122</v>
      </c>
      <c r="H54" s="102">
        <v>-2878</v>
      </c>
      <c r="I54" s="102">
        <v>-3169</v>
      </c>
      <c r="J54" s="102">
        <v>-2441</v>
      </c>
      <c r="K54" s="102">
        <v>-1837</v>
      </c>
      <c r="L54" s="102">
        <v>-2142</v>
      </c>
      <c r="M54" s="102">
        <v>-2743</v>
      </c>
      <c r="N54" s="102">
        <v>-3563</v>
      </c>
    </row>
    <row r="55" spans="2:14" x14ac:dyDescent="0.25">
      <c r="B55" t="s">
        <v>234</v>
      </c>
      <c r="C55" s="102">
        <v>10</v>
      </c>
      <c r="D55" s="102">
        <v>38</v>
      </c>
      <c r="E55" s="102">
        <v>9</v>
      </c>
      <c r="F55" s="102">
        <v>8</v>
      </c>
      <c r="G55" s="102">
        <v>50</v>
      </c>
      <c r="H55" s="102">
        <v>80</v>
      </c>
      <c r="I55" s="102">
        <v>28</v>
      </c>
      <c r="J55" s="102">
        <v>27</v>
      </c>
      <c r="K55" s="102">
        <v>3</v>
      </c>
      <c r="L55" s="102">
        <v>133</v>
      </c>
      <c r="M55" s="102">
        <v>49</v>
      </c>
      <c r="N55" s="102">
        <v>107</v>
      </c>
    </row>
    <row r="56" spans="2:14" x14ac:dyDescent="0.25">
      <c r="B56" t="s">
        <v>235</v>
      </c>
      <c r="C56" s="102">
        <v>-75713</v>
      </c>
      <c r="D56" s="102">
        <v>-94242</v>
      </c>
      <c r="E56" s="102">
        <v>-98742</v>
      </c>
      <c r="F56" s="102">
        <v>-154081</v>
      </c>
      <c r="G56" s="102">
        <v>-85683</v>
      </c>
      <c r="H56" s="102">
        <v>-98330</v>
      </c>
      <c r="I56" s="102">
        <v>-94187</v>
      </c>
      <c r="J56" s="102">
        <v>-79835</v>
      </c>
      <c r="K56" s="102">
        <v>-57553</v>
      </c>
      <c r="L56" s="102">
        <v>-69776</v>
      </c>
      <c r="M56" s="102">
        <v>-80932</v>
      </c>
      <c r="N56" s="102">
        <v>-75107</v>
      </c>
    </row>
    <row r="57" spans="2:14" x14ac:dyDescent="0.25">
      <c r="B57" t="s">
        <v>236</v>
      </c>
      <c r="C57" s="102">
        <v>75152</v>
      </c>
      <c r="D57" s="102">
        <v>93293</v>
      </c>
      <c r="E57" s="102">
        <v>99658</v>
      </c>
      <c r="F57" s="102">
        <v>150651</v>
      </c>
      <c r="G57" s="102">
        <v>81034</v>
      </c>
      <c r="H57" s="102">
        <v>95017</v>
      </c>
      <c r="I57" s="102">
        <v>92454</v>
      </c>
      <c r="J57" s="102">
        <v>75835</v>
      </c>
      <c r="K57" s="102">
        <v>62797</v>
      </c>
      <c r="L57" s="102">
        <v>70992</v>
      </c>
      <c r="M57" s="102">
        <v>77230</v>
      </c>
      <c r="N57" s="102">
        <v>77830</v>
      </c>
    </row>
    <row r="58" spans="2:14" x14ac:dyDescent="0.25">
      <c r="B58" t="s">
        <v>237</v>
      </c>
      <c r="C58" s="102">
        <v>265</v>
      </c>
      <c r="D58" s="102">
        <v>374</v>
      </c>
      <c r="E58" s="102">
        <v>559</v>
      </c>
      <c r="F58" s="102">
        <v>741</v>
      </c>
      <c r="G58" s="102">
        <v>756</v>
      </c>
      <c r="H58" s="102">
        <v>736</v>
      </c>
      <c r="I58" s="102">
        <v>1184</v>
      </c>
      <c r="J58" s="102">
        <v>1513</v>
      </c>
      <c r="K58" s="102">
        <v>1275</v>
      </c>
      <c r="L58" s="102">
        <v>1035</v>
      </c>
      <c r="M58" s="102">
        <v>1324</v>
      </c>
      <c r="N58" s="102">
        <v>1138</v>
      </c>
    </row>
    <row r="59" spans="2:14" x14ac:dyDescent="0.25">
      <c r="B59" t="s">
        <v>238</v>
      </c>
      <c r="C59" s="102">
        <v>249</v>
      </c>
      <c r="D59" s="102">
        <v>192</v>
      </c>
      <c r="E59" s="102">
        <v>268</v>
      </c>
      <c r="F59" s="102">
        <v>64</v>
      </c>
      <c r="G59" s="102">
        <v>4</v>
      </c>
      <c r="H59" s="102">
        <v>13</v>
      </c>
      <c r="I59" s="102">
        <v>13</v>
      </c>
      <c r="J59" s="102">
        <v>17</v>
      </c>
      <c r="K59" s="102">
        <v>7</v>
      </c>
      <c r="L59" s="102">
        <v>16</v>
      </c>
      <c r="M59" s="102">
        <v>19</v>
      </c>
      <c r="N59" s="102">
        <v>36</v>
      </c>
    </row>
    <row r="60" spans="2:14" x14ac:dyDescent="0.25">
      <c r="B60" t="s">
        <v>283</v>
      </c>
      <c r="C60" s="102">
        <v>0</v>
      </c>
      <c r="D60" s="102">
        <v>0</v>
      </c>
      <c r="E60" s="102">
        <v>0</v>
      </c>
      <c r="F60" s="102">
        <v>-8</v>
      </c>
      <c r="G60" s="102">
        <v>0</v>
      </c>
      <c r="H60" s="102">
        <v>0</v>
      </c>
      <c r="I60" s="102">
        <v>0</v>
      </c>
      <c r="J60" s="102">
        <v>0</v>
      </c>
      <c r="K60" s="102">
        <v>0</v>
      </c>
      <c r="L60" s="102">
        <v>0</v>
      </c>
      <c r="M60" s="102">
        <v>0</v>
      </c>
      <c r="N60" s="102">
        <v>0</v>
      </c>
    </row>
    <row r="61" spans="2:14" x14ac:dyDescent="0.25">
      <c r="B61" t="s">
        <v>239</v>
      </c>
      <c r="C61" s="102">
        <v>0</v>
      </c>
      <c r="D61" s="102">
        <v>0</v>
      </c>
      <c r="E61" s="102">
        <v>0</v>
      </c>
      <c r="F61" s="102">
        <v>0</v>
      </c>
      <c r="G61" s="102">
        <v>0</v>
      </c>
      <c r="H61" s="102">
        <v>0</v>
      </c>
      <c r="I61" s="102">
        <v>0</v>
      </c>
      <c r="J61" s="102">
        <v>0</v>
      </c>
      <c r="K61" s="102">
        <v>-2</v>
      </c>
      <c r="L61" s="102">
        <v>-2</v>
      </c>
      <c r="M61" s="102">
        <v>-2</v>
      </c>
      <c r="N61" s="102">
        <v>-65</v>
      </c>
    </row>
    <row r="62" spans="2:14" x14ac:dyDescent="0.25">
      <c r="B62" t="s">
        <v>240</v>
      </c>
      <c r="C62" s="102">
        <v>0</v>
      </c>
      <c r="D62" s="102">
        <v>0</v>
      </c>
      <c r="E62" s="102">
        <v>0</v>
      </c>
      <c r="F62" s="102">
        <v>0</v>
      </c>
      <c r="G62" s="102">
        <v>129</v>
      </c>
      <c r="H62" s="102">
        <v>18</v>
      </c>
      <c r="I62" s="102">
        <v>18</v>
      </c>
      <c r="J62" s="102">
        <v>0</v>
      </c>
      <c r="K62" s="102">
        <v>0</v>
      </c>
      <c r="L62" s="102">
        <v>0</v>
      </c>
      <c r="M62" s="102">
        <v>56</v>
      </c>
      <c r="N62" s="102">
        <v>0</v>
      </c>
    </row>
    <row r="63" spans="2:14" x14ac:dyDescent="0.25">
      <c r="B63" t="s">
        <v>241</v>
      </c>
      <c r="C63" s="102">
        <v>-1200</v>
      </c>
      <c r="D63" s="102">
        <v>-21</v>
      </c>
      <c r="E63" s="102">
        <v>-3728</v>
      </c>
      <c r="F63" s="102">
        <v>1052</v>
      </c>
      <c r="G63" s="102">
        <v>3579</v>
      </c>
      <c r="H63" s="102">
        <v>-1769</v>
      </c>
      <c r="I63" s="102">
        <v>-1887</v>
      </c>
      <c r="J63" s="102">
        <v>-1290</v>
      </c>
      <c r="K63" s="102">
        <v>1051</v>
      </c>
      <c r="L63" s="102">
        <v>-2494</v>
      </c>
      <c r="M63" s="102">
        <v>-733</v>
      </c>
      <c r="N63" s="102">
        <v>1187</v>
      </c>
    </row>
    <row r="64" spans="2:14" ht="15.75" thickBot="1" x14ac:dyDescent="0.3">
      <c r="B64" s="119" t="s">
        <v>232</v>
      </c>
      <c r="C64" s="127">
        <f t="shared" ref="C64:N64" si="2">SUM(C54:C63)</f>
        <v>-3881</v>
      </c>
      <c r="D64" s="127">
        <f t="shared" si="2"/>
        <v>-3253</v>
      </c>
      <c r="E64" s="127">
        <f t="shared" si="2"/>
        <v>-5276</v>
      </c>
      <c r="F64" s="127">
        <f t="shared" si="2"/>
        <v>-3921</v>
      </c>
      <c r="G64" s="127">
        <f t="shared" si="2"/>
        <v>-3253</v>
      </c>
      <c r="H64" s="127">
        <f t="shared" si="2"/>
        <v>-7113</v>
      </c>
      <c r="I64" s="127">
        <f t="shared" si="2"/>
        <v>-5546</v>
      </c>
      <c r="J64" s="127">
        <f t="shared" si="2"/>
        <v>-6174</v>
      </c>
      <c r="K64" s="127">
        <f t="shared" si="2"/>
        <v>5741</v>
      </c>
      <c r="L64" s="127">
        <f t="shared" si="2"/>
        <v>-2238</v>
      </c>
      <c r="M64" s="127">
        <f t="shared" si="2"/>
        <v>-5732</v>
      </c>
      <c r="N64" s="127">
        <f t="shared" si="2"/>
        <v>1563</v>
      </c>
    </row>
    <row r="65" spans="2:14" x14ac:dyDescent="0.25">
      <c r="C65" s="126"/>
      <c r="D65" s="126"/>
      <c r="E65" s="126"/>
      <c r="F65" s="126"/>
      <c r="G65" s="126"/>
      <c r="H65" s="126"/>
      <c r="I65" s="126"/>
      <c r="J65" s="126"/>
      <c r="K65" s="126"/>
      <c r="L65" s="126"/>
      <c r="M65" s="126"/>
      <c r="N65" s="126"/>
    </row>
    <row r="66" spans="2:14" x14ac:dyDescent="0.25">
      <c r="B66" t="s">
        <v>243</v>
      </c>
      <c r="C66" s="102">
        <v>922</v>
      </c>
      <c r="D66" s="102">
        <v>691</v>
      </c>
      <c r="E66" s="102">
        <v>979</v>
      </c>
      <c r="F66" s="102">
        <v>532</v>
      </c>
      <c r="G66" s="102">
        <v>1067</v>
      </c>
      <c r="H66" s="102">
        <v>913</v>
      </c>
      <c r="I66" s="102">
        <v>969</v>
      </c>
      <c r="J66" s="102">
        <v>625</v>
      </c>
      <c r="K66" s="102">
        <v>291</v>
      </c>
      <c r="L66" s="102">
        <v>292</v>
      </c>
      <c r="M66" s="102">
        <v>2477</v>
      </c>
      <c r="N66" s="102">
        <v>1443</v>
      </c>
    </row>
    <row r="67" spans="2:14" x14ac:dyDescent="0.25">
      <c r="B67" t="s">
        <v>244</v>
      </c>
      <c r="C67" s="102">
        <v>-2</v>
      </c>
      <c r="D67" s="102">
        <v>156</v>
      </c>
      <c r="E67" s="102">
        <v>7</v>
      </c>
      <c r="F67" s="102">
        <v>0</v>
      </c>
      <c r="G67" s="102">
        <v>0</v>
      </c>
      <c r="H67" s="102">
        <v>11</v>
      </c>
      <c r="I67" s="102">
        <v>0</v>
      </c>
      <c r="J67" s="102">
        <v>0</v>
      </c>
      <c r="K67" s="102">
        <v>0</v>
      </c>
      <c r="L67" s="102">
        <v>0</v>
      </c>
      <c r="M67" s="102">
        <v>0</v>
      </c>
      <c r="N67" s="102">
        <v>8</v>
      </c>
    </row>
    <row r="68" spans="2:14" x14ac:dyDescent="0.25">
      <c r="B68" t="s">
        <v>245</v>
      </c>
      <c r="C68" s="102">
        <v>-12</v>
      </c>
      <c r="D68" s="102">
        <v>-15</v>
      </c>
      <c r="E68" s="102">
        <v>-20</v>
      </c>
      <c r="F68" s="102">
        <v>-13</v>
      </c>
      <c r="G68" s="102">
        <v>-13</v>
      </c>
      <c r="H68" s="102">
        <v>-8</v>
      </c>
      <c r="I68" s="102">
        <v>-18</v>
      </c>
      <c r="J68" s="102">
        <v>-3</v>
      </c>
      <c r="K68" s="102">
        <v>-2</v>
      </c>
      <c r="L68" s="102">
        <v>-1</v>
      </c>
      <c r="M68" s="102">
        <v>-1</v>
      </c>
      <c r="N68" s="102">
        <v>-2</v>
      </c>
    </row>
    <row r="69" spans="2:14" x14ac:dyDescent="0.25">
      <c r="B69" t="s">
        <v>246</v>
      </c>
      <c r="C69" s="102">
        <v>-71</v>
      </c>
      <c r="D69" s="102">
        <v>-48</v>
      </c>
      <c r="E69" s="102">
        <v>-16</v>
      </c>
      <c r="F69" s="102">
        <v>-28</v>
      </c>
      <c r="G69" s="102">
        <v>-25</v>
      </c>
      <c r="H69" s="102">
        <v>-49</v>
      </c>
      <c r="I69" s="102">
        <v>-98</v>
      </c>
      <c r="J69" s="102">
        <v>-44</v>
      </c>
      <c r="K69" s="102">
        <v>-41</v>
      </c>
      <c r="L69" s="102">
        <v>-40</v>
      </c>
      <c r="M69" s="102">
        <v>-41</v>
      </c>
      <c r="N69" s="102">
        <v>-46</v>
      </c>
    </row>
    <row r="70" spans="2:14" x14ac:dyDescent="0.25">
      <c r="B70" t="s">
        <v>247</v>
      </c>
      <c r="C70" s="102">
        <v>-3592</v>
      </c>
      <c r="D70" s="102">
        <v>-4239</v>
      </c>
      <c r="E70" s="102">
        <v>-4876</v>
      </c>
      <c r="F70" s="102">
        <v>-5133</v>
      </c>
      <c r="G70" s="102">
        <v>-6994</v>
      </c>
      <c r="H70" s="102">
        <v>-5952</v>
      </c>
      <c r="I70" s="102">
        <v>-6519</v>
      </c>
      <c r="J70" s="102">
        <v>-7302</v>
      </c>
      <c r="K70" s="102">
        <v>-18881</v>
      </c>
      <c r="L70" s="102">
        <v>-13788</v>
      </c>
      <c r="M70" s="102">
        <v>-15418</v>
      </c>
      <c r="N70" s="102">
        <v>-19899</v>
      </c>
    </row>
    <row r="71" spans="2:14" x14ac:dyDescent="0.25">
      <c r="B71" t="s">
        <v>248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-49</v>
      </c>
      <c r="K71" s="102">
        <v>-55</v>
      </c>
      <c r="L71" s="102">
        <v>-59</v>
      </c>
      <c r="M71" s="102">
        <v>-59</v>
      </c>
      <c r="N71" s="102">
        <v>-67</v>
      </c>
    </row>
    <row r="72" spans="2:14" x14ac:dyDescent="0.25">
      <c r="B72" t="s">
        <v>249</v>
      </c>
      <c r="C72" s="102">
        <v>-556</v>
      </c>
      <c r="D72" s="102">
        <v>-667</v>
      </c>
      <c r="E72" s="102">
        <v>-734</v>
      </c>
      <c r="F72" s="102">
        <v>-971</v>
      </c>
      <c r="G72" s="102">
        <v>-1335</v>
      </c>
      <c r="H72" s="102">
        <v>-1136</v>
      </c>
      <c r="I72" s="102">
        <v>-1203</v>
      </c>
      <c r="J72" s="102">
        <v>-1409</v>
      </c>
      <c r="K72" s="102">
        <v>55</v>
      </c>
      <c r="L72" s="102">
        <v>15</v>
      </c>
      <c r="M72" s="102">
        <v>35</v>
      </c>
      <c r="N72" s="102">
        <v>12</v>
      </c>
    </row>
    <row r="73" spans="2:14" x14ac:dyDescent="0.25">
      <c r="B73" t="s">
        <v>145</v>
      </c>
      <c r="C73" s="102">
        <v>-90</v>
      </c>
      <c r="D73" s="102">
        <v>-32</v>
      </c>
      <c r="E73" s="102">
        <v>-93</v>
      </c>
      <c r="F73" s="102">
        <v>266</v>
      </c>
      <c r="G73" s="102">
        <v>75</v>
      </c>
      <c r="H73" s="102">
        <v>-166</v>
      </c>
      <c r="I73" s="102">
        <v>169</v>
      </c>
      <c r="J73" s="102">
        <v>334</v>
      </c>
      <c r="K73" s="102">
        <v>-367</v>
      </c>
      <c r="L73" s="102">
        <v>-43</v>
      </c>
      <c r="M73" s="102">
        <v>139</v>
      </c>
      <c r="N73" s="102">
        <v>191</v>
      </c>
    </row>
    <row r="74" spans="2:14" ht="15.75" thickBot="1" x14ac:dyDescent="0.3">
      <c r="B74" s="119" t="s">
        <v>242</v>
      </c>
      <c r="C74" s="127">
        <f>SUM(C66:C73)</f>
        <v>-3401</v>
      </c>
      <c r="D74" s="127">
        <f t="shared" ref="D74:N74" si="3">SUM(D66:D73)</f>
        <v>-4154</v>
      </c>
      <c r="E74" s="127">
        <f t="shared" si="3"/>
        <v>-4753</v>
      </c>
      <c r="F74" s="127">
        <f t="shared" si="3"/>
        <v>-5347</v>
      </c>
      <c r="G74" s="127">
        <f t="shared" si="3"/>
        <v>-7225</v>
      </c>
      <c r="H74" s="127">
        <f t="shared" si="3"/>
        <v>-6387</v>
      </c>
      <c r="I74" s="127">
        <f t="shared" si="3"/>
        <v>-6700</v>
      </c>
      <c r="J74" s="127">
        <f t="shared" si="3"/>
        <v>-7848</v>
      </c>
      <c r="K74" s="127">
        <f t="shared" si="3"/>
        <v>-19000</v>
      </c>
      <c r="L74" s="127">
        <f t="shared" si="3"/>
        <v>-13624</v>
      </c>
      <c r="M74" s="127">
        <f t="shared" si="3"/>
        <v>-12868</v>
      </c>
      <c r="N74" s="127">
        <f t="shared" si="3"/>
        <v>-18360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4</vt:i4>
      </vt:variant>
    </vt:vector>
  </HeadingPairs>
  <TitlesOfParts>
    <vt:vector size="19" baseType="lpstr">
      <vt:lpstr>DCF&gt;</vt:lpstr>
      <vt:lpstr>WACC</vt:lpstr>
      <vt:lpstr>Beta Regression </vt:lpstr>
      <vt:lpstr>Beta Comps</vt:lpstr>
      <vt:lpstr>Rm</vt:lpstr>
      <vt:lpstr>Intrisic Growth</vt:lpstr>
      <vt:lpstr>DCF</vt:lpstr>
      <vt:lpstr>Financials&gt;</vt:lpstr>
      <vt:lpstr>Historical FS</vt:lpstr>
      <vt:lpstr>Forecasting</vt:lpstr>
      <vt:lpstr>Ratio Analysis</vt:lpstr>
      <vt:lpstr>Common Size Statement</vt:lpstr>
      <vt:lpstr>Data Room&gt;</vt:lpstr>
      <vt:lpstr>Data Sheet</vt:lpstr>
      <vt:lpstr>Raw FS</vt:lpstr>
      <vt:lpstr>Levered_Raw_Beta</vt:lpstr>
      <vt:lpstr>Market_Beta</vt:lpstr>
      <vt:lpstr>Market_Beta_Weight</vt:lpstr>
      <vt:lpstr>Raw_Beta_Weight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Valuation School</dc:creator>
  <cp:lastModifiedBy>Syed Fazlullah</cp:lastModifiedBy>
  <cp:lastPrinted>2024-10-10T22:28:44Z</cp:lastPrinted>
  <dcterms:created xsi:type="dcterms:W3CDTF">2023-02-06T14:53:36Z</dcterms:created>
  <dcterms:modified xsi:type="dcterms:W3CDTF">2024-10-14T18:48:04Z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{1EE99B22-FCBF-4602-91E6-C0830BFCF47D}</vt:lpwstr>
  </property>
</Properties>
</file>